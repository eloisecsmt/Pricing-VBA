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ois\Desktop\"/>
    </mc:Choice>
  </mc:AlternateContent>
  <xr:revisionPtr revIDLastSave="0" documentId="13_ncr:1_{A1085FBE-7DA3-4870-B497-510A9620FD4E}" xr6:coauthVersionLast="47" xr6:coauthVersionMax="47" xr10:uidLastSave="{00000000-0000-0000-0000-000000000000}"/>
  <bookViews>
    <workbookView xWindow="-120" yWindow="-120" windowWidth="23280" windowHeight="14880" activeTab="4" xr2:uid="{B054E9A0-44D6-4023-A68B-A79B898960C7}"/>
  </bookViews>
  <sheets>
    <sheet name="Projet" sheetId="1" r:id="rId1"/>
    <sheet name="Obligation - Bonds" sheetId="2" r:id="rId2"/>
    <sheet name="Option sur action BS" sheetId="4" r:id="rId3"/>
    <sheet name="Option sur action MC" sheetId="5" r:id="rId4"/>
    <sheet name="SWAP" sheetId="6" r:id="rId5"/>
    <sheet name="Data" sheetId="3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5" i="3" l="1"/>
  <c r="M6" i="3"/>
  <c r="M7" i="3"/>
  <c r="M8" i="3" s="1"/>
  <c r="M9" i="3" s="1"/>
  <c r="M10" i="3" s="1"/>
  <c r="M11" i="3" s="1"/>
  <c r="M12" i="3" s="1"/>
  <c r="M13" i="3" s="1"/>
  <c r="M14" i="3" s="1"/>
  <c r="M15" i="3" s="1"/>
  <c r="M16" i="3" s="1"/>
  <c r="M17" i="3" s="1"/>
  <c r="M18" i="3" s="1"/>
  <c r="M19" i="3" s="1"/>
  <c r="M20" i="3" s="1"/>
  <c r="M21" i="3" s="1"/>
  <c r="M22" i="3" s="1"/>
  <c r="M23" i="3" s="1"/>
  <c r="M24" i="3" s="1"/>
  <c r="M25" i="3" s="1"/>
  <c r="M26" i="3" s="1"/>
  <c r="M27" i="3" s="1"/>
  <c r="M28" i="3" s="1"/>
  <c r="M29" i="3" s="1"/>
  <c r="M30" i="3" s="1"/>
  <c r="M31" i="3" s="1"/>
  <c r="M32" i="3" s="1"/>
  <c r="M33" i="3" s="1"/>
  <c r="M34" i="3" s="1"/>
  <c r="M35" i="3" s="1"/>
  <c r="M36" i="3" s="1"/>
  <c r="M37" i="3" s="1"/>
  <c r="M38" i="3" s="1"/>
  <c r="M39" i="3" s="1"/>
  <c r="M40" i="3" s="1"/>
  <c r="M41" i="3" s="1"/>
  <c r="M42" i="3" s="1"/>
  <c r="M43" i="3" s="1"/>
  <c r="M44" i="3" s="1"/>
  <c r="M45" i="3" s="1"/>
  <c r="M46" i="3" s="1"/>
  <c r="M47" i="3" s="1"/>
  <c r="M48" i="3" s="1"/>
  <c r="M49" i="3" s="1"/>
  <c r="M50" i="3" s="1"/>
  <c r="M51" i="3" s="1"/>
  <c r="M52" i="3" s="1"/>
  <c r="M53" i="3" s="1"/>
  <c r="M54" i="3" s="1"/>
  <c r="M55" i="3" s="1"/>
  <c r="M56" i="3" s="1"/>
  <c r="M57" i="3" s="1"/>
  <c r="M58" i="3" s="1"/>
  <c r="M59" i="3" s="1"/>
  <c r="M60" i="3" s="1"/>
  <c r="M61" i="3" s="1"/>
  <c r="M62" i="3" s="1"/>
  <c r="M63" i="3" s="1"/>
  <c r="M64" i="3" s="1"/>
  <c r="M65" i="3" s="1"/>
  <c r="M66" i="3" s="1"/>
  <c r="M67" i="3" s="1"/>
  <c r="M68" i="3" s="1"/>
  <c r="M69" i="3" s="1"/>
  <c r="M70" i="3" s="1"/>
  <c r="M71" i="3" s="1"/>
  <c r="M72" i="3" s="1"/>
  <c r="M73" i="3" s="1"/>
  <c r="M74" i="3" s="1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M105" i="3" s="1"/>
  <c r="M106" i="3" s="1"/>
  <c r="M107" i="3" s="1"/>
  <c r="M108" i="3" s="1"/>
  <c r="M109" i="3" s="1"/>
  <c r="M110" i="3" s="1"/>
  <c r="M111" i="3" s="1"/>
  <c r="M112" i="3" s="1"/>
  <c r="M113" i="3" s="1"/>
  <c r="M114" i="3" s="1"/>
  <c r="M4" i="3"/>
  <c r="L16" i="3"/>
  <c r="L17" i="3"/>
  <c r="L18" i="3"/>
  <c r="L19" i="3"/>
  <c r="L20" i="3"/>
  <c r="L21" i="3"/>
  <c r="L22" i="3"/>
  <c r="L23" i="3"/>
  <c r="L24" i="3" s="1"/>
  <c r="L25" i="3" s="1"/>
  <c r="L26" i="3" s="1"/>
  <c r="L27" i="3" s="1"/>
  <c r="L28" i="3" s="1"/>
  <c r="L29" i="3" s="1"/>
  <c r="L30" i="3" s="1"/>
  <c r="L31" i="3" s="1"/>
  <c r="L32" i="3" s="1"/>
  <c r="L33" i="3" s="1"/>
  <c r="L34" i="3" s="1"/>
  <c r="L35" i="3" s="1"/>
  <c r="L36" i="3" s="1"/>
  <c r="L37" i="3" s="1"/>
  <c r="L38" i="3" s="1"/>
  <c r="L39" i="3" s="1"/>
  <c r="L40" i="3" s="1"/>
  <c r="L41" i="3" s="1"/>
  <c r="L42" i="3" s="1"/>
  <c r="L43" i="3" s="1"/>
  <c r="L44" i="3" s="1"/>
  <c r="L45" i="3" s="1"/>
  <c r="L46" i="3" s="1"/>
  <c r="L47" i="3" s="1"/>
  <c r="L48" i="3" s="1"/>
  <c r="L49" i="3" s="1"/>
  <c r="L50" i="3" s="1"/>
  <c r="L51" i="3" s="1"/>
  <c r="L52" i="3" s="1"/>
  <c r="L53" i="3" s="1"/>
  <c r="L54" i="3" s="1"/>
  <c r="L55" i="3" s="1"/>
  <c r="L56" i="3" s="1"/>
  <c r="L57" i="3" s="1"/>
  <c r="L58" i="3" s="1"/>
  <c r="L59" i="3" s="1"/>
  <c r="L60" i="3" s="1"/>
  <c r="L61" i="3" s="1"/>
  <c r="L62" i="3" s="1"/>
  <c r="L63" i="3" s="1"/>
  <c r="L64" i="3" s="1"/>
  <c r="L65" i="3" s="1"/>
  <c r="L66" i="3" s="1"/>
  <c r="L67" i="3" s="1"/>
  <c r="L68" i="3" s="1"/>
  <c r="L69" i="3" s="1"/>
  <c r="L70" i="3" s="1"/>
  <c r="L71" i="3"/>
  <c r="L72" i="3" s="1"/>
  <c r="L73" i="3" s="1"/>
  <c r="L74" i="3" s="1"/>
  <c r="L75" i="3" s="1"/>
  <c r="L76" i="3" s="1"/>
  <c r="L77" i="3" s="1"/>
  <c r="L78" i="3" s="1"/>
  <c r="L79" i="3"/>
  <c r="L80" i="3" s="1"/>
  <c r="L81" i="3" s="1"/>
  <c r="L82" i="3" s="1"/>
  <c r="L83" i="3" s="1"/>
  <c r="L84" i="3" s="1"/>
  <c r="L85" i="3" s="1"/>
  <c r="L86" i="3" s="1"/>
  <c r="L87" i="3"/>
  <c r="L88" i="3" s="1"/>
  <c r="L89" i="3" s="1"/>
  <c r="L90" i="3" s="1"/>
  <c r="L91" i="3" s="1"/>
  <c r="L92" i="3" s="1"/>
  <c r="L93" i="3" s="1"/>
  <c r="L94" i="3" s="1"/>
  <c r="L95" i="3"/>
  <c r="L96" i="3" s="1"/>
  <c r="L97" i="3" s="1"/>
  <c r="L98" i="3" s="1"/>
  <c r="L99" i="3" s="1"/>
  <c r="L100" i="3" s="1"/>
  <c r="L101" i="3" s="1"/>
  <c r="L102" i="3" s="1"/>
  <c r="L103" i="3"/>
  <c r="L104" i="3" s="1"/>
  <c r="L105" i="3" s="1"/>
  <c r="L106" i="3" s="1"/>
  <c r="L107" i="3" s="1"/>
  <c r="L108" i="3" s="1"/>
  <c r="L109" i="3" s="1"/>
  <c r="L110" i="3" s="1"/>
  <c r="L111" i="3"/>
  <c r="L112" i="3" s="1"/>
  <c r="L113" i="3" s="1"/>
  <c r="L114" i="3" s="1"/>
  <c r="L5" i="3"/>
  <c r="L6" i="3"/>
  <c r="L7" i="3"/>
  <c r="L8" i="3"/>
  <c r="L9" i="3"/>
  <c r="L10" i="3"/>
  <c r="L11" i="3"/>
  <c r="L12" i="3"/>
  <c r="L13" i="3" s="1"/>
  <c r="L14" i="3" s="1"/>
  <c r="L15" i="3" s="1"/>
  <c r="L4" i="3"/>
  <c r="K114" i="3"/>
  <c r="K5" i="3"/>
  <c r="K6" i="3" s="1"/>
  <c r="K7" i="3" s="1"/>
  <c r="K8" i="3" s="1"/>
  <c r="K9" i="3" s="1"/>
  <c r="K10" i="3" s="1"/>
  <c r="K11" i="3" s="1"/>
  <c r="K12" i="3" s="1"/>
  <c r="K13" i="3" s="1"/>
  <c r="K14" i="3" s="1"/>
  <c r="K15" i="3" s="1"/>
  <c r="K16" i="3" s="1"/>
  <c r="K17" i="3" s="1"/>
  <c r="K18" i="3" s="1"/>
  <c r="K19" i="3" s="1"/>
  <c r="K20" i="3" s="1"/>
  <c r="K21" i="3" s="1"/>
  <c r="K22" i="3" s="1"/>
  <c r="K23" i="3" s="1"/>
  <c r="K24" i="3" s="1"/>
  <c r="K25" i="3" s="1"/>
  <c r="K26" i="3" s="1"/>
  <c r="K27" i="3" s="1"/>
  <c r="K28" i="3" s="1"/>
  <c r="K29" i="3" s="1"/>
  <c r="K30" i="3" s="1"/>
  <c r="K31" i="3" s="1"/>
  <c r="K32" i="3" s="1"/>
  <c r="K33" i="3" s="1"/>
  <c r="K34" i="3" s="1"/>
  <c r="K35" i="3" s="1"/>
  <c r="K36" i="3" s="1"/>
  <c r="K37" i="3" s="1"/>
  <c r="K38" i="3" s="1"/>
  <c r="K39" i="3" s="1"/>
  <c r="K40" i="3" s="1"/>
  <c r="K41" i="3" s="1"/>
  <c r="K42" i="3" s="1"/>
  <c r="K43" i="3" s="1"/>
  <c r="K44" i="3" s="1"/>
  <c r="K45" i="3" s="1"/>
  <c r="K46" i="3" s="1"/>
  <c r="K47" i="3" s="1"/>
  <c r="K48" i="3" s="1"/>
  <c r="K49" i="3" s="1"/>
  <c r="K50" i="3" s="1"/>
  <c r="K51" i="3" s="1"/>
  <c r="K52" i="3" s="1"/>
  <c r="K53" i="3" s="1"/>
  <c r="K54" i="3" s="1"/>
  <c r="K55" i="3" s="1"/>
  <c r="K56" i="3" s="1"/>
  <c r="K57" i="3" s="1"/>
  <c r="K58" i="3" s="1"/>
  <c r="K59" i="3" s="1"/>
  <c r="K60" i="3" s="1"/>
  <c r="K61" i="3" s="1"/>
  <c r="K62" i="3" s="1"/>
  <c r="K63" i="3" s="1"/>
  <c r="K64" i="3" s="1"/>
  <c r="K65" i="3" s="1"/>
  <c r="K66" i="3" s="1"/>
  <c r="K67" i="3" s="1"/>
  <c r="K68" i="3" s="1"/>
  <c r="K69" i="3" s="1"/>
  <c r="K70" i="3" s="1"/>
  <c r="K71" i="3" s="1"/>
  <c r="K72" i="3" s="1"/>
  <c r="K73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K105" i="3" s="1"/>
  <c r="K106" i="3" s="1"/>
  <c r="K107" i="3" s="1"/>
  <c r="K108" i="3" s="1"/>
  <c r="K109" i="3" s="1"/>
  <c r="K110" i="3" s="1"/>
  <c r="K111" i="3" s="1"/>
  <c r="K112" i="3" s="1"/>
  <c r="K113" i="3" s="1"/>
  <c r="K4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3" i="3"/>
  <c r="D3" i="3"/>
  <c r="G4" i="3"/>
  <c r="G5" i="3"/>
  <c r="G6" i="3"/>
  <c r="G7" i="3"/>
  <c r="G8" i="3"/>
  <c r="G9" i="3"/>
  <c r="G10" i="3"/>
  <c r="G11" i="3"/>
  <c r="G12" i="3"/>
  <c r="G13" i="3" s="1"/>
  <c r="G14" i="3" s="1"/>
  <c r="G15" i="3" s="1"/>
  <c r="G16" i="3" s="1"/>
  <c r="G17" i="3" s="1"/>
  <c r="G18" i="3" s="1"/>
  <c r="G19" i="3" s="1"/>
  <c r="G20" i="3" s="1"/>
  <c r="G21" i="3" s="1"/>
  <c r="G22" i="3" s="1"/>
  <c r="G23" i="3" s="1"/>
  <c r="G24" i="3" s="1"/>
  <c r="G25" i="3" s="1"/>
  <c r="G26" i="3" s="1"/>
  <c r="G27" i="3" s="1"/>
  <c r="G28" i="3" s="1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F3" i="3"/>
  <c r="F4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F5" i="3"/>
  <c r="F6" i="3" s="1"/>
  <c r="F7" i="3" s="1"/>
  <c r="F8" i="3" s="1"/>
  <c r="F9" i="3" s="1"/>
  <c r="F10" i="3" s="1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22" i="3" s="1"/>
  <c r="F23" i="3" s="1"/>
  <c r="F24" i="3" s="1"/>
  <c r="F25" i="3" s="1"/>
  <c r="F26" i="3" s="1"/>
  <c r="F27" i="3" s="1"/>
  <c r="F28" i="3" s="1"/>
  <c r="F29" i="3" s="1"/>
  <c r="F30" i="3" s="1"/>
  <c r="F31" i="3" s="1"/>
  <c r="F32" i="3" s="1"/>
  <c r="F33" i="3" s="1"/>
  <c r="F34" i="3" s="1"/>
  <c r="F35" i="3" s="1"/>
  <c r="F36" i="3" s="1"/>
  <c r="F37" i="3" s="1"/>
  <c r="F38" i="3" s="1"/>
  <c r="F39" i="3" s="1"/>
  <c r="F40" i="3" s="1"/>
  <c r="F41" i="3" s="1"/>
  <c r="F42" i="3" s="1"/>
  <c r="F43" i="3" s="1"/>
  <c r="F44" i="3" s="1"/>
  <c r="F45" i="3" s="1"/>
  <c r="F46" i="3" s="1"/>
  <c r="F47" i="3" s="1"/>
  <c r="F48" i="3" s="1"/>
  <c r="F49" i="3" s="1"/>
  <c r="F50" i="3" s="1"/>
  <c r="F51" i="3" s="1"/>
  <c r="F52" i="3" s="1"/>
  <c r="F53" i="3" s="1"/>
  <c r="F54" i="3" s="1"/>
  <c r="F55" i="3" s="1"/>
  <c r="F56" i="3" s="1"/>
  <c r="F57" i="3" s="1"/>
  <c r="F58" i="3" s="1"/>
  <c r="F59" i="3" s="1"/>
  <c r="F60" i="3" s="1"/>
  <c r="F61" i="3" s="1"/>
  <c r="F62" i="3" s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F78" i="3" s="1"/>
  <c r="F79" i="3" s="1"/>
  <c r="F80" i="3" s="1"/>
  <c r="F81" i="3" s="1"/>
  <c r="F82" i="3" s="1"/>
  <c r="F83" i="3" s="1"/>
  <c r="F84" i="3" s="1"/>
  <c r="F85" i="3" s="1"/>
  <c r="F86" i="3" s="1"/>
  <c r="F87" i="3" s="1"/>
  <c r="F88" i="3" s="1"/>
  <c r="F89" i="3" s="1"/>
  <c r="F90" i="3" s="1"/>
  <c r="F91" i="3" s="1"/>
  <c r="F92" i="3" s="1"/>
  <c r="F93" i="3" s="1"/>
  <c r="F94" i="3" s="1"/>
  <c r="F95" i="3" s="1"/>
  <c r="F96" i="3" s="1"/>
  <c r="F97" i="3" s="1"/>
  <c r="F98" i="3" s="1"/>
  <c r="F99" i="3" s="1"/>
  <c r="F100" i="3" s="1"/>
  <c r="F101" i="3" s="1"/>
  <c r="F102" i="3" s="1"/>
  <c r="F103" i="3" s="1"/>
  <c r="F104" i="3" s="1"/>
  <c r="F105" i="3" s="1"/>
  <c r="F106" i="3" s="1"/>
  <c r="F107" i="3" s="1"/>
  <c r="F108" i="3" s="1"/>
  <c r="F109" i="3" s="1"/>
  <c r="F110" i="3" s="1"/>
  <c r="F111" i="3" s="1"/>
  <c r="F112" i="3" s="1"/>
  <c r="F113" i="3" s="1"/>
  <c r="F114" i="3" s="1"/>
  <c r="D4" i="3"/>
  <c r="E2" i="3"/>
</calcChain>
</file>

<file path=xl/sharedStrings.xml><?xml version="1.0" encoding="utf-8"?>
<sst xmlns="http://schemas.openxmlformats.org/spreadsheetml/2006/main" count="100" uniqueCount="66">
  <si>
    <t>BONDS</t>
  </si>
  <si>
    <t>TD</t>
  </si>
  <si>
    <t>Maturity</t>
  </si>
  <si>
    <t>Principal</t>
  </si>
  <si>
    <t>Coupon rate</t>
  </si>
  <si>
    <t>Periodicity</t>
  </si>
  <si>
    <t>Basis</t>
  </si>
  <si>
    <t>Discount curve rate</t>
  </si>
  <si>
    <t>Years</t>
  </si>
  <si>
    <t>NB of Cash Flow</t>
  </si>
  <si>
    <t>Coupon Rate</t>
  </si>
  <si>
    <t>NB of Days in Period</t>
  </si>
  <si>
    <t>NB of Days in Year</t>
  </si>
  <si>
    <t>Start Date</t>
  </si>
  <si>
    <t>End Date</t>
  </si>
  <si>
    <t>Cash Flows</t>
  </si>
  <si>
    <t>Discount Rate</t>
  </si>
  <si>
    <t>Discount Factor</t>
  </si>
  <si>
    <t>Discount Cash Flow</t>
  </si>
  <si>
    <t>Annuel</t>
  </si>
  <si>
    <t>Monthly</t>
  </si>
  <si>
    <t>Quarterly</t>
  </si>
  <si>
    <t>30/360</t>
  </si>
  <si>
    <t>SemiAnnuel</t>
  </si>
  <si>
    <t>Curve_ZC</t>
  </si>
  <si>
    <t>Pricing :</t>
  </si>
  <si>
    <t>Strike</t>
  </si>
  <si>
    <t>Volatility</t>
  </si>
  <si>
    <t>Durée restante</t>
  </si>
  <si>
    <t>Month</t>
  </si>
  <si>
    <t>Call :</t>
  </si>
  <si>
    <t>Put :</t>
  </si>
  <si>
    <t>Risk Free Rate</t>
  </si>
  <si>
    <t>Stock Price</t>
  </si>
  <si>
    <t>COUSSEMENT Eloise</t>
  </si>
  <si>
    <t>LETORT Jarod</t>
  </si>
  <si>
    <t>Black and Scholes</t>
  </si>
  <si>
    <t>Monte Carlo</t>
  </si>
  <si>
    <t>Nombre de simulation</t>
  </si>
  <si>
    <t>sumPayoff</t>
  </si>
  <si>
    <t>OPTION MC</t>
  </si>
  <si>
    <t>OPTION BS</t>
  </si>
  <si>
    <t>Months</t>
  </si>
  <si>
    <t>SWAP Interest Rate</t>
  </si>
  <si>
    <t>Conterpart 1</t>
  </si>
  <si>
    <t>Conterpart 2</t>
  </si>
  <si>
    <t>Trade date</t>
  </si>
  <si>
    <t>Floating Rate</t>
  </si>
  <si>
    <t>Fixed Rate</t>
  </si>
  <si>
    <t>Curve_ABC</t>
  </si>
  <si>
    <t>Forward Curve Rate</t>
  </si>
  <si>
    <t>Curve_1</t>
  </si>
  <si>
    <t>Curve_2</t>
  </si>
  <si>
    <t>Curve_3</t>
  </si>
  <si>
    <t>Discount Curve Rate</t>
  </si>
  <si>
    <t>Spot Lag</t>
  </si>
  <si>
    <t>Forward Rate</t>
  </si>
  <si>
    <t>Euribor_1</t>
  </si>
  <si>
    <t>Euribor_3</t>
  </si>
  <si>
    <t>Euribor_6</t>
  </si>
  <si>
    <t>Euribor_12</t>
  </si>
  <si>
    <t>Euribor curve (months)</t>
  </si>
  <si>
    <t>Forward Cash Flow</t>
  </si>
  <si>
    <t>Nous sousignons, COUSSEMENT Eloise et LETORT Jarod, reconnaissons avoir pris connaissance sur les règles de propriété intellectuelle et nous engageons à les avoir respecté dans le document soumis ci-joint.</t>
  </si>
  <si>
    <t>Membre du groupe 2 :</t>
  </si>
  <si>
    <t>Ce projet contient le code VBA d'un Pricer d'obligation et d'option (BS + Monte Carlo) ainsi qu'une partie du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</si>
</sst>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€&quot;;\-#,##0.00\ &quot;€&quot;"/>
    <numFmt numFmtId="164" formatCode="0.000%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D4D4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/>
      <top style="thin">
        <color theme="1" tint="0.499984740745262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79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0" xfId="0" applyFont="1" applyFill="1" applyAlignment="1">
      <alignment horizontal="left" vertical="center"/>
    </xf>
    <xf numFmtId="0" fontId="5" fillId="5" borderId="0" xfId="0" applyFont="1" applyFill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5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0" fontId="5" fillId="5" borderId="11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/>
    </xf>
    <xf numFmtId="0" fontId="3" fillId="2" borderId="0" xfId="0" applyFont="1" applyFill="1"/>
    <xf numFmtId="0" fontId="5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9" fontId="3" fillId="0" borderId="4" xfId="1" applyFont="1" applyBorder="1" applyAlignment="1">
      <alignment horizontal="center"/>
    </xf>
    <xf numFmtId="14" fontId="3" fillId="0" borderId="4" xfId="0" applyNumberFormat="1" applyFont="1" applyBorder="1" applyAlignment="1">
      <alignment horizontal="center"/>
    </xf>
    <xf numFmtId="10" fontId="3" fillId="0" borderId="4" xfId="1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/>
    <xf numFmtId="10" fontId="5" fillId="0" borderId="0" xfId="1" applyNumberFormat="1" applyFont="1"/>
    <xf numFmtId="0" fontId="5" fillId="2" borderId="5" xfId="0" applyFont="1" applyFill="1" applyBorder="1"/>
    <xf numFmtId="0" fontId="5" fillId="2" borderId="6" xfId="0" applyFont="1" applyFill="1" applyBorder="1"/>
    <xf numFmtId="0" fontId="5" fillId="2" borderId="7" xfId="0" applyFont="1" applyFill="1" applyBorder="1"/>
    <xf numFmtId="0" fontId="5" fillId="2" borderId="8" xfId="0" applyFont="1" applyFill="1" applyBorder="1"/>
    <xf numFmtId="0" fontId="5" fillId="2" borderId="0" xfId="0" applyFont="1" applyFill="1"/>
    <xf numFmtId="0" fontId="5" fillId="2" borderId="9" xfId="0" applyFont="1" applyFill="1" applyBorder="1"/>
    <xf numFmtId="10" fontId="5" fillId="7" borderId="5" xfId="1" applyNumberFormat="1" applyFont="1" applyFill="1" applyBorder="1"/>
    <xf numFmtId="0" fontId="5" fillId="7" borderId="6" xfId="0" applyFont="1" applyFill="1" applyBorder="1"/>
    <xf numFmtId="0" fontId="5" fillId="7" borderId="7" xfId="0" applyFont="1" applyFill="1" applyBorder="1"/>
    <xf numFmtId="10" fontId="5" fillId="7" borderId="8" xfId="1" applyNumberFormat="1" applyFont="1" applyFill="1" applyBorder="1"/>
    <xf numFmtId="0" fontId="5" fillId="7" borderId="0" xfId="0" applyFont="1" applyFill="1"/>
    <xf numFmtId="0" fontId="5" fillId="7" borderId="9" xfId="0" applyFont="1" applyFill="1" applyBorder="1"/>
    <xf numFmtId="10" fontId="5" fillId="7" borderId="10" xfId="1" applyNumberFormat="1" applyFont="1" applyFill="1" applyBorder="1"/>
    <xf numFmtId="0" fontId="5" fillId="7" borderId="11" xfId="0" applyFont="1" applyFill="1" applyBorder="1"/>
    <xf numFmtId="0" fontId="5" fillId="7" borderId="12" xfId="0" applyFont="1" applyFill="1" applyBorder="1"/>
    <xf numFmtId="0" fontId="5" fillId="2" borderId="10" xfId="0" applyFont="1" applyFill="1" applyBorder="1"/>
    <xf numFmtId="0" fontId="5" fillId="2" borderId="11" xfId="0" applyFont="1" applyFill="1" applyBorder="1"/>
    <xf numFmtId="0" fontId="5" fillId="2" borderId="12" xfId="0" applyFont="1" applyFill="1" applyBorder="1"/>
    <xf numFmtId="9" fontId="5" fillId="0" borderId="0" xfId="1" applyFont="1"/>
    <xf numFmtId="14" fontId="5" fillId="0" borderId="0" xfId="0" applyNumberFormat="1" applyFont="1"/>
    <xf numFmtId="1" fontId="5" fillId="0" borderId="0" xfId="0" applyNumberFormat="1" applyFont="1"/>
    <xf numFmtId="2" fontId="5" fillId="0" borderId="0" xfId="0" applyNumberFormat="1" applyFont="1"/>
    <xf numFmtId="0" fontId="5" fillId="0" borderId="3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7" fontId="5" fillId="4" borderId="3" xfId="0" applyNumberFormat="1" applyFont="1" applyFill="1" applyBorder="1" applyAlignment="1">
      <alignment horizontal="center" vertical="center"/>
    </xf>
    <xf numFmtId="9" fontId="5" fillId="0" borderId="3" xfId="1" applyFont="1" applyFill="1" applyBorder="1" applyAlignment="1">
      <alignment horizontal="center" vertical="center"/>
    </xf>
    <xf numFmtId="9" fontId="5" fillId="0" borderId="0" xfId="1" applyFont="1" applyFill="1" applyAlignment="1">
      <alignment horizontal="center" vertical="center"/>
    </xf>
    <xf numFmtId="0" fontId="5" fillId="6" borderId="6" xfId="0" applyFont="1" applyFill="1" applyBorder="1" applyAlignment="1">
      <alignment horizontal="center" vertical="center"/>
    </xf>
    <xf numFmtId="0" fontId="5" fillId="6" borderId="7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/>
    </xf>
    <xf numFmtId="0" fontId="5" fillId="6" borderId="11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10" fontId="3" fillId="4" borderId="1" xfId="1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5" fillId="0" borderId="3" xfId="1" applyNumberFormat="1" applyFont="1" applyBorder="1" applyAlignment="1">
      <alignment horizontal="center" vertical="center"/>
    </xf>
    <xf numFmtId="9" fontId="5" fillId="0" borderId="3" xfId="1" applyFont="1" applyBorder="1" applyAlignment="1">
      <alignment horizontal="center" vertical="center"/>
    </xf>
    <xf numFmtId="0" fontId="5" fillId="0" borderId="8" xfId="0" applyFont="1" applyBorder="1" applyAlignment="1">
      <alignment vertical="center"/>
    </xf>
    <xf numFmtId="0" fontId="5" fillId="5" borderId="5" xfId="0" applyFont="1" applyFill="1" applyBorder="1"/>
    <xf numFmtId="0" fontId="5" fillId="5" borderId="6" xfId="0" applyFont="1" applyFill="1" applyBorder="1"/>
    <xf numFmtId="0" fontId="5" fillId="5" borderId="7" xfId="0" applyFont="1" applyFill="1" applyBorder="1"/>
    <xf numFmtId="0" fontId="5" fillId="5" borderId="8" xfId="0" applyFont="1" applyFill="1" applyBorder="1"/>
    <xf numFmtId="0" fontId="5" fillId="5" borderId="0" xfId="0" applyFont="1" applyFill="1"/>
    <xf numFmtId="0" fontId="5" fillId="5" borderId="9" xfId="0" applyFont="1" applyFill="1" applyBorder="1"/>
    <xf numFmtId="0" fontId="5" fillId="5" borderId="10" xfId="0" applyFont="1" applyFill="1" applyBorder="1"/>
    <xf numFmtId="0" fontId="5" fillId="5" borderId="11" xfId="0" applyFont="1" applyFill="1" applyBorder="1"/>
    <xf numFmtId="0" fontId="5" fillId="5" borderId="12" xfId="0" applyFont="1" applyFill="1" applyBorder="1"/>
    <xf numFmtId="0" fontId="5" fillId="8" borderId="6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8" borderId="9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7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9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0" fontId="0" fillId="9" borderId="16" xfId="0" applyFill="1" applyBorder="1"/>
    <xf numFmtId="0" fontId="0" fillId="9" borderId="17" xfId="0" applyFill="1" applyBorder="1"/>
    <xf numFmtId="0" fontId="0" fillId="9" borderId="17" xfId="0" applyFill="1" applyBorder="1" applyAlignment="1">
      <alignment horizont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1" fillId="9" borderId="18" xfId="0" applyFont="1" applyFill="1" applyBorder="1" applyAlignment="1">
      <alignment horizontal="center" vertical="center"/>
    </xf>
    <xf numFmtId="0" fontId="1" fillId="9" borderId="0" xfId="0" applyFont="1" applyFill="1"/>
    <xf numFmtId="0" fontId="0" fillId="9" borderId="0" xfId="0" applyFill="1"/>
    <xf numFmtId="0" fontId="0" fillId="9" borderId="25" xfId="0" applyFill="1" applyBorder="1"/>
    <xf numFmtId="0" fontId="0" fillId="9" borderId="26" xfId="0" applyFill="1" applyBorder="1" applyAlignment="1">
      <alignment horizontal="center" vertical="center"/>
    </xf>
    <xf numFmtId="0" fontId="0" fillId="9" borderId="27" xfId="0" applyFill="1" applyBorder="1"/>
    <xf numFmtId="0" fontId="0" fillId="9" borderId="26" xfId="0" applyFill="1" applyBorder="1"/>
    <xf numFmtId="0" fontId="1" fillId="9" borderId="0" xfId="0" applyFont="1" applyFill="1" applyAlignment="1">
      <alignment horizontal="left" vertical="center"/>
    </xf>
    <xf numFmtId="0" fontId="0" fillId="0" borderId="24" xfId="0" applyBorder="1" applyAlignment="1">
      <alignment horizontal="center"/>
    </xf>
    <xf numFmtId="0" fontId="0" fillId="9" borderId="26" xfId="0" applyFill="1" applyBorder="1" applyAlignment="1">
      <alignment horizontal="center"/>
    </xf>
    <xf numFmtId="14" fontId="0" fillId="9" borderId="0" xfId="0" applyNumberFormat="1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6" xfId="0" applyFont="1" applyBorder="1"/>
    <xf numFmtId="10" fontId="0" fillId="0" borderId="8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10" fontId="0" fillId="0" borderId="6" xfId="0" applyNumberFormat="1" applyBorder="1" applyAlignment="1">
      <alignment horizontal="center"/>
    </xf>
    <xf numFmtId="10" fontId="0" fillId="0" borderId="7" xfId="0" applyNumberFormat="1" applyBorder="1"/>
    <xf numFmtId="10" fontId="0" fillId="0" borderId="9" xfId="0" applyNumberFormat="1" applyBorder="1"/>
    <xf numFmtId="10" fontId="0" fillId="0" borderId="12" xfId="0" applyNumberFormat="1" applyBorder="1"/>
    <xf numFmtId="0" fontId="1" fillId="3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8" xfId="0" applyFont="1" applyBorder="1"/>
    <xf numFmtId="0" fontId="1" fillId="0" borderId="10" xfId="0" applyFont="1" applyBorder="1"/>
    <xf numFmtId="0" fontId="0" fillId="0" borderId="23" xfId="0" applyBorder="1" applyAlignment="1">
      <alignment horizontal="center" vertical="center"/>
    </xf>
    <xf numFmtId="0" fontId="1" fillId="9" borderId="24" xfId="0" applyFont="1" applyFill="1" applyBorder="1" applyAlignment="1">
      <alignment horizontal="center"/>
    </xf>
    <xf numFmtId="0" fontId="0" fillId="5" borderId="28" xfId="0" applyFill="1" applyBorder="1"/>
    <xf numFmtId="0" fontId="0" fillId="5" borderId="29" xfId="0" applyFill="1" applyBorder="1" applyAlignment="1">
      <alignment horizontal="center" vertical="center"/>
    </xf>
    <xf numFmtId="0" fontId="0" fillId="5" borderId="29" xfId="0" applyFill="1" applyBorder="1"/>
    <xf numFmtId="0" fontId="0" fillId="0" borderId="6" xfId="0" applyBorder="1"/>
    <xf numFmtId="0" fontId="1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1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 vertical="center"/>
    </xf>
    <xf numFmtId="9" fontId="0" fillId="0" borderId="0" xfId="1" applyFont="1" applyAlignment="1">
      <alignment horizontal="center" vertical="center"/>
    </xf>
    <xf numFmtId="10" fontId="0" fillId="0" borderId="0" xfId="1" applyNumberFormat="1" applyFont="1" applyAlignment="1">
      <alignment horizontal="center" vertical="center"/>
    </xf>
    <xf numFmtId="10" fontId="0" fillId="0" borderId="0" xfId="1" applyNumberFormat="1" applyFont="1"/>
    <xf numFmtId="164" fontId="0" fillId="0" borderId="0" xfId="1" applyNumberFormat="1" applyFont="1"/>
    <xf numFmtId="165" fontId="0" fillId="0" borderId="0" xfId="0" applyNumberFormat="1"/>
    <xf numFmtId="2" fontId="0" fillId="0" borderId="0" xfId="0" applyNumberFormat="1"/>
    <xf numFmtId="164" fontId="0" fillId="0" borderId="0" xfId="1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6" fillId="8" borderId="13" xfId="0" applyFont="1" applyFill="1" applyBorder="1" applyAlignment="1">
      <alignment horizontal="center" vertical="center"/>
    </xf>
    <xf numFmtId="0" fontId="5" fillId="8" borderId="15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6" fillId="6" borderId="1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5" fillId="6" borderId="15" xfId="0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5" fillId="8" borderId="31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F8D4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238125</xdr:colOff>
          <xdr:row>8</xdr:row>
          <xdr:rowOff>161925</xdr:rowOff>
        </xdr:from>
        <xdr:to>
          <xdr:col>11</xdr:col>
          <xdr:colOff>1028700</xdr:colOff>
          <xdr:row>11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Princing Bond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13</xdr:row>
          <xdr:rowOff>0</xdr:rowOff>
        </xdr:from>
        <xdr:to>
          <xdr:col>10</xdr:col>
          <xdr:colOff>600075</xdr:colOff>
          <xdr:row>15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18</xdr:row>
          <xdr:rowOff>76200</xdr:rowOff>
        </xdr:from>
        <xdr:to>
          <xdr:col>2</xdr:col>
          <xdr:colOff>1019175</xdr:colOff>
          <xdr:row>20</xdr:row>
          <xdr:rowOff>152400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Call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18</xdr:row>
          <xdr:rowOff>76200</xdr:rowOff>
        </xdr:from>
        <xdr:to>
          <xdr:col>4</xdr:col>
          <xdr:colOff>400050</xdr:colOff>
          <xdr:row>20</xdr:row>
          <xdr:rowOff>152400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18</xdr:row>
          <xdr:rowOff>85725</xdr:rowOff>
        </xdr:from>
        <xdr:to>
          <xdr:col>5</xdr:col>
          <xdr:colOff>685800</xdr:colOff>
          <xdr:row>23</xdr:row>
          <xdr:rowOff>9525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22</xdr:row>
          <xdr:rowOff>76200</xdr:rowOff>
        </xdr:from>
        <xdr:to>
          <xdr:col>2</xdr:col>
          <xdr:colOff>1028700</xdr:colOff>
          <xdr:row>24</xdr:row>
          <xdr:rowOff>142875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3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Call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66675</xdr:colOff>
          <xdr:row>22</xdr:row>
          <xdr:rowOff>76200</xdr:rowOff>
        </xdr:from>
        <xdr:to>
          <xdr:col>4</xdr:col>
          <xdr:colOff>400050</xdr:colOff>
          <xdr:row>24</xdr:row>
          <xdr:rowOff>152400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3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Put Price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895350</xdr:colOff>
          <xdr:row>22</xdr:row>
          <xdr:rowOff>85725</xdr:rowOff>
        </xdr:from>
        <xdr:to>
          <xdr:col>6</xdr:col>
          <xdr:colOff>200025</xdr:colOff>
          <xdr:row>27</xdr:row>
          <xdr:rowOff>9525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3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5</xdr:row>
          <xdr:rowOff>47625</xdr:rowOff>
        </xdr:from>
        <xdr:to>
          <xdr:col>14</xdr:col>
          <xdr:colOff>266700</xdr:colOff>
          <xdr:row>9</xdr:row>
          <xdr:rowOff>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4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 Fixed 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476250</xdr:colOff>
          <xdr:row>10</xdr:row>
          <xdr:rowOff>133350</xdr:rowOff>
        </xdr:from>
        <xdr:to>
          <xdr:col>14</xdr:col>
          <xdr:colOff>352425</xdr:colOff>
          <xdr:row>14</xdr:row>
          <xdr:rowOff>85725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4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3FD88-2F8D-4F36-956A-9557C246131F}">
  <sheetPr codeName="Feuil1"/>
  <dimension ref="D4:N12"/>
  <sheetViews>
    <sheetView workbookViewId="0">
      <selection activeCell="J16" sqref="J16"/>
    </sheetView>
  </sheetViews>
  <sheetFormatPr baseColWidth="10" defaultRowHeight="15" x14ac:dyDescent="0.25"/>
  <sheetData>
    <row r="4" spans="4:14" ht="19.5" customHeight="1" x14ac:dyDescent="0.25">
      <c r="D4" s="86" t="s">
        <v>65</v>
      </c>
      <c r="E4" s="86"/>
      <c r="F4" s="86"/>
      <c r="G4" s="86"/>
      <c r="H4" s="86"/>
      <c r="I4" s="86"/>
      <c r="J4" s="86"/>
      <c r="K4" s="86"/>
      <c r="L4" s="86"/>
      <c r="M4" s="86"/>
    </row>
    <row r="7" spans="4:14" x14ac:dyDescent="0.25">
      <c r="D7" s="154" t="s">
        <v>64</v>
      </c>
      <c r="E7" s="155"/>
    </row>
    <row r="8" spans="4:14" x14ac:dyDescent="0.25">
      <c r="D8" s="156" t="s">
        <v>34</v>
      </c>
      <c r="E8" s="157"/>
    </row>
    <row r="9" spans="4:14" x14ac:dyDescent="0.25">
      <c r="D9" s="158" t="s">
        <v>35</v>
      </c>
      <c r="E9" s="159"/>
    </row>
    <row r="12" spans="4:14" ht="30" customHeight="1" x14ac:dyDescent="0.25">
      <c r="D12" s="160" t="s">
        <v>63</v>
      </c>
      <c r="E12" s="161"/>
      <c r="F12" s="161"/>
      <c r="G12" s="161"/>
      <c r="H12" s="161"/>
      <c r="I12" s="161"/>
      <c r="J12" s="161"/>
      <c r="K12" s="161"/>
      <c r="L12" s="161"/>
      <c r="M12" s="161"/>
      <c r="N12" s="162"/>
    </row>
  </sheetData>
  <mergeCells count="4">
    <mergeCell ref="D7:E7"/>
    <mergeCell ref="D8:E8"/>
    <mergeCell ref="D9:E9"/>
    <mergeCell ref="D12:N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CD167-3DB3-42D3-B7FB-6EA510D0130E}">
  <sheetPr codeName="Feuil2"/>
  <dimension ref="B1:IR166"/>
  <sheetViews>
    <sheetView zoomScale="76" workbookViewId="0">
      <selection activeCell="E21" sqref="E21"/>
    </sheetView>
  </sheetViews>
  <sheetFormatPr baseColWidth="10" defaultRowHeight="15.75" x14ac:dyDescent="0.25"/>
  <cols>
    <col min="1" max="1" width="11.42578125" style="28"/>
    <col min="2" max="2" width="19.5703125" style="28" customWidth="1"/>
    <col min="3" max="3" width="19.7109375" style="28" customWidth="1"/>
    <col min="4" max="4" width="31" style="48" customWidth="1"/>
    <col min="5" max="5" width="24.28515625" style="28" customWidth="1"/>
    <col min="6" max="6" width="21.7109375" style="28" customWidth="1"/>
    <col min="7" max="7" width="19.5703125" style="28" customWidth="1"/>
    <col min="8" max="8" width="18.28515625" style="28" customWidth="1"/>
    <col min="9" max="9" width="17.140625" style="28" customWidth="1"/>
    <col min="10" max="10" width="18.28515625" style="29" customWidth="1"/>
    <col min="11" max="11" width="17.28515625" style="28" customWidth="1"/>
    <col min="12" max="12" width="20.140625" style="28" customWidth="1"/>
    <col min="13" max="13" width="24.140625" style="28" customWidth="1"/>
    <col min="14" max="16384" width="11.42578125" style="28"/>
  </cols>
  <sheetData>
    <row r="1" spans="2:252" x14ac:dyDescent="0.25">
      <c r="D1" s="28"/>
      <c r="HD1" s="28">
        <v>1</v>
      </c>
      <c r="HN1" s="28">
        <v>2</v>
      </c>
      <c r="HX1" s="28">
        <v>3</v>
      </c>
      <c r="IH1" s="28">
        <v>4</v>
      </c>
      <c r="IR1" s="28">
        <v>5</v>
      </c>
    </row>
    <row r="2" spans="2:252" x14ac:dyDescent="0.25">
      <c r="B2" s="30"/>
      <c r="C2" s="31"/>
      <c r="D2" s="18" t="s">
        <v>0</v>
      </c>
      <c r="E2" s="31"/>
      <c r="F2" s="32"/>
    </row>
    <row r="3" spans="2:252" x14ac:dyDescent="0.25">
      <c r="B3" s="33"/>
      <c r="C3" s="34"/>
      <c r="D3" s="34"/>
      <c r="E3" s="34"/>
      <c r="F3" s="35"/>
    </row>
    <row r="4" spans="2:252" x14ac:dyDescent="0.25">
      <c r="B4" s="33"/>
      <c r="C4" s="19" t="s">
        <v>1</v>
      </c>
      <c r="D4" s="65"/>
      <c r="E4" s="34"/>
      <c r="F4" s="35"/>
    </row>
    <row r="5" spans="2:252" x14ac:dyDescent="0.25">
      <c r="B5" s="33"/>
      <c r="C5" s="19"/>
      <c r="D5" s="34"/>
      <c r="E5" s="34"/>
      <c r="F5" s="35"/>
      <c r="I5" s="2"/>
      <c r="J5" s="63" t="s">
        <v>25</v>
      </c>
      <c r="K5" s="64"/>
    </row>
    <row r="6" spans="2:252" ht="15.75" customHeight="1" x14ac:dyDescent="0.25">
      <c r="B6" s="33"/>
      <c r="C6" s="19" t="s">
        <v>2</v>
      </c>
      <c r="D6" s="52"/>
      <c r="E6" s="20" t="s">
        <v>8</v>
      </c>
      <c r="F6" s="35"/>
      <c r="H6" s="2"/>
      <c r="I6" s="2"/>
    </row>
    <row r="7" spans="2:252" x14ac:dyDescent="0.25">
      <c r="B7" s="33"/>
      <c r="C7" s="19"/>
      <c r="D7" s="34"/>
      <c r="E7" s="34"/>
      <c r="F7" s="35"/>
    </row>
    <row r="8" spans="2:252" x14ac:dyDescent="0.25">
      <c r="B8" s="33"/>
      <c r="C8" s="19" t="s">
        <v>3</v>
      </c>
      <c r="D8" s="66"/>
      <c r="E8" s="34"/>
      <c r="F8" s="35"/>
    </row>
    <row r="9" spans="2:252" x14ac:dyDescent="0.25">
      <c r="B9" s="33"/>
      <c r="C9" s="19"/>
      <c r="D9" s="34"/>
      <c r="E9" s="34"/>
      <c r="F9" s="35"/>
      <c r="J9" s="36"/>
      <c r="K9" s="37"/>
      <c r="L9" s="38"/>
    </row>
    <row r="10" spans="2:252" x14ac:dyDescent="0.25">
      <c r="B10" s="33"/>
      <c r="C10" s="19" t="s">
        <v>4</v>
      </c>
      <c r="D10" s="55"/>
      <c r="E10" s="34"/>
      <c r="F10" s="35"/>
      <c r="J10" s="39"/>
      <c r="K10" s="40"/>
      <c r="L10" s="41"/>
    </row>
    <row r="11" spans="2:252" x14ac:dyDescent="0.25">
      <c r="B11" s="33"/>
      <c r="C11" s="19"/>
      <c r="D11" s="34"/>
      <c r="E11" s="34"/>
      <c r="F11" s="35"/>
      <c r="J11" s="39"/>
      <c r="K11" s="40"/>
      <c r="L11" s="41"/>
    </row>
    <row r="12" spans="2:252" x14ac:dyDescent="0.25">
      <c r="B12" s="33"/>
      <c r="C12" s="19" t="s">
        <v>5</v>
      </c>
      <c r="D12" s="67"/>
      <c r="E12" s="34"/>
      <c r="F12" s="35"/>
      <c r="J12" s="39"/>
      <c r="K12" s="40"/>
      <c r="L12" s="41"/>
    </row>
    <row r="13" spans="2:252" x14ac:dyDescent="0.25">
      <c r="B13" s="33"/>
      <c r="C13" s="19"/>
      <c r="D13" s="34"/>
      <c r="E13" s="34"/>
      <c r="F13" s="35"/>
      <c r="J13" s="39"/>
      <c r="K13" s="40"/>
      <c r="L13" s="41"/>
    </row>
    <row r="14" spans="2:252" x14ac:dyDescent="0.25">
      <c r="B14" s="33"/>
      <c r="C14" s="19" t="s">
        <v>6</v>
      </c>
      <c r="D14" s="52" t="s">
        <v>22</v>
      </c>
      <c r="E14" s="34"/>
      <c r="F14" s="35"/>
      <c r="J14" s="39"/>
      <c r="K14" s="40"/>
      <c r="L14" s="41"/>
    </row>
    <row r="15" spans="2:252" x14ac:dyDescent="0.25">
      <c r="B15" s="33"/>
      <c r="C15" s="19"/>
      <c r="D15" s="34"/>
      <c r="E15" s="34"/>
      <c r="F15" s="35"/>
      <c r="J15" s="39"/>
      <c r="K15" s="40"/>
      <c r="L15" s="41"/>
    </row>
    <row r="16" spans="2:252" x14ac:dyDescent="0.25">
      <c r="B16" s="33"/>
      <c r="C16" s="19" t="s">
        <v>7</v>
      </c>
      <c r="D16" s="52"/>
      <c r="E16" s="34"/>
      <c r="F16" s="35"/>
      <c r="J16" s="42"/>
      <c r="K16" s="43"/>
      <c r="L16" s="44"/>
    </row>
    <row r="17" spans="2:12" x14ac:dyDescent="0.25">
      <c r="B17" s="45"/>
      <c r="C17" s="46"/>
      <c r="D17" s="46"/>
      <c r="E17" s="46"/>
      <c r="F17" s="47"/>
    </row>
    <row r="20" spans="2:12" s="27" customFormat="1" x14ac:dyDescent="0.25">
      <c r="B20" s="21" t="s">
        <v>9</v>
      </c>
      <c r="C20" s="22" t="s">
        <v>3</v>
      </c>
      <c r="D20" s="23" t="s">
        <v>10</v>
      </c>
      <c r="E20" s="22" t="s">
        <v>11</v>
      </c>
      <c r="F20" s="22" t="s">
        <v>12</v>
      </c>
      <c r="G20" s="24" t="s">
        <v>13</v>
      </c>
      <c r="H20" s="22" t="s">
        <v>14</v>
      </c>
      <c r="I20" s="22" t="s">
        <v>15</v>
      </c>
      <c r="J20" s="25" t="s">
        <v>16</v>
      </c>
      <c r="K20" s="22" t="s">
        <v>17</v>
      </c>
      <c r="L20" s="26" t="s">
        <v>18</v>
      </c>
    </row>
    <row r="21" spans="2:12" x14ac:dyDescent="0.25">
      <c r="G21" s="49"/>
      <c r="H21" s="49"/>
      <c r="K21" s="50"/>
      <c r="L21" s="51"/>
    </row>
    <row r="22" spans="2:12" x14ac:dyDescent="0.25">
      <c r="G22" s="49"/>
      <c r="H22" s="49"/>
      <c r="K22" s="51"/>
      <c r="L22" s="51"/>
    </row>
    <row r="23" spans="2:12" x14ac:dyDescent="0.25">
      <c r="G23" s="49"/>
      <c r="H23" s="49"/>
      <c r="K23" s="51"/>
      <c r="L23" s="51"/>
    </row>
    <row r="24" spans="2:12" x14ac:dyDescent="0.25">
      <c r="G24" s="49"/>
      <c r="H24" s="49"/>
      <c r="K24" s="51"/>
      <c r="L24" s="51"/>
    </row>
    <row r="25" spans="2:12" x14ac:dyDescent="0.25">
      <c r="G25" s="49"/>
      <c r="H25" s="49"/>
      <c r="K25" s="51"/>
      <c r="L25" s="51"/>
    </row>
    <row r="26" spans="2:12" x14ac:dyDescent="0.25">
      <c r="G26" s="49"/>
      <c r="H26" s="49"/>
      <c r="K26" s="51"/>
      <c r="L26" s="51"/>
    </row>
    <row r="27" spans="2:12" x14ac:dyDescent="0.25">
      <c r="G27" s="49"/>
      <c r="H27" s="49"/>
      <c r="K27" s="51"/>
      <c r="L27" s="51"/>
    </row>
    <row r="28" spans="2:12" x14ac:dyDescent="0.25">
      <c r="G28" s="49"/>
      <c r="H28" s="49"/>
      <c r="K28" s="51"/>
      <c r="L28" s="51"/>
    </row>
    <row r="29" spans="2:12" x14ac:dyDescent="0.25">
      <c r="G29" s="49"/>
      <c r="H29" s="49"/>
      <c r="K29" s="51"/>
      <c r="L29" s="51"/>
    </row>
    <row r="30" spans="2:12" x14ac:dyDescent="0.25">
      <c r="G30" s="49"/>
      <c r="H30" s="49"/>
      <c r="K30" s="51"/>
      <c r="L30" s="51"/>
    </row>
    <row r="31" spans="2:12" x14ac:dyDescent="0.25">
      <c r="G31" s="49"/>
      <c r="H31" s="49"/>
      <c r="K31" s="51"/>
      <c r="L31" s="51"/>
    </row>
    <row r="32" spans="2:12" x14ac:dyDescent="0.25">
      <c r="G32" s="49"/>
      <c r="H32" s="49"/>
      <c r="K32" s="51"/>
      <c r="L32" s="51"/>
    </row>
    <row r="33" spans="7:12" x14ac:dyDescent="0.25">
      <c r="G33" s="49"/>
      <c r="H33" s="49"/>
      <c r="K33" s="51"/>
      <c r="L33" s="51"/>
    </row>
    <row r="34" spans="7:12" x14ac:dyDescent="0.25">
      <c r="G34" s="49"/>
      <c r="H34" s="49"/>
      <c r="K34" s="51"/>
      <c r="L34" s="51"/>
    </row>
    <row r="35" spans="7:12" x14ac:dyDescent="0.25">
      <c r="G35" s="49"/>
      <c r="H35" s="49"/>
      <c r="K35" s="51"/>
      <c r="L35" s="51"/>
    </row>
    <row r="36" spans="7:12" x14ac:dyDescent="0.25">
      <c r="G36" s="49"/>
      <c r="H36" s="49"/>
      <c r="K36" s="51"/>
      <c r="L36" s="51"/>
    </row>
    <row r="37" spans="7:12" x14ac:dyDescent="0.25">
      <c r="G37" s="49"/>
      <c r="H37" s="49"/>
      <c r="K37" s="51"/>
      <c r="L37" s="51"/>
    </row>
    <row r="38" spans="7:12" x14ac:dyDescent="0.25">
      <c r="G38" s="49"/>
      <c r="H38" s="49"/>
      <c r="K38" s="51"/>
      <c r="L38" s="51"/>
    </row>
    <row r="39" spans="7:12" x14ac:dyDescent="0.25">
      <c r="G39" s="49"/>
      <c r="H39" s="49"/>
      <c r="K39" s="51"/>
      <c r="L39" s="51"/>
    </row>
    <row r="40" spans="7:12" x14ac:dyDescent="0.25">
      <c r="G40" s="49"/>
      <c r="H40" s="49"/>
      <c r="K40" s="51"/>
      <c r="L40" s="51"/>
    </row>
    <row r="41" spans="7:12" x14ac:dyDescent="0.25">
      <c r="G41" s="49"/>
      <c r="H41" s="49"/>
      <c r="K41" s="51"/>
      <c r="L41" s="51"/>
    </row>
    <row r="42" spans="7:12" x14ac:dyDescent="0.25">
      <c r="G42" s="49"/>
      <c r="H42" s="49"/>
      <c r="K42" s="51"/>
      <c r="L42" s="51"/>
    </row>
    <row r="43" spans="7:12" x14ac:dyDescent="0.25">
      <c r="G43" s="49"/>
      <c r="H43" s="49"/>
      <c r="K43" s="51"/>
      <c r="L43" s="51"/>
    </row>
    <row r="44" spans="7:12" x14ac:dyDescent="0.25">
      <c r="G44" s="49"/>
      <c r="H44" s="49"/>
      <c r="K44" s="51"/>
      <c r="L44" s="51"/>
    </row>
    <row r="45" spans="7:12" x14ac:dyDescent="0.25">
      <c r="G45" s="49"/>
      <c r="H45" s="49"/>
      <c r="K45" s="51"/>
      <c r="L45" s="51"/>
    </row>
    <row r="46" spans="7:12" x14ac:dyDescent="0.25">
      <c r="G46" s="49"/>
      <c r="H46" s="49"/>
      <c r="K46" s="51"/>
      <c r="L46" s="51"/>
    </row>
    <row r="47" spans="7:12" x14ac:dyDescent="0.25">
      <c r="G47" s="49"/>
      <c r="H47" s="49"/>
      <c r="K47" s="51"/>
      <c r="L47" s="51"/>
    </row>
    <row r="48" spans="7:12" x14ac:dyDescent="0.25">
      <c r="G48" s="49"/>
      <c r="H48" s="49"/>
      <c r="K48" s="51"/>
      <c r="L48" s="51"/>
    </row>
    <row r="49" spans="7:12" x14ac:dyDescent="0.25">
      <c r="G49" s="49"/>
      <c r="H49" s="49"/>
      <c r="K49" s="51"/>
      <c r="L49" s="51"/>
    </row>
    <row r="50" spans="7:12" x14ac:dyDescent="0.25">
      <c r="G50" s="49"/>
      <c r="H50" s="49"/>
      <c r="K50" s="51"/>
      <c r="L50" s="51"/>
    </row>
    <row r="51" spans="7:12" x14ac:dyDescent="0.25">
      <c r="G51" s="49"/>
      <c r="H51" s="49"/>
      <c r="K51" s="51"/>
      <c r="L51" s="51"/>
    </row>
    <row r="52" spans="7:12" x14ac:dyDescent="0.25">
      <c r="G52" s="49"/>
      <c r="H52" s="49"/>
      <c r="K52" s="51"/>
      <c r="L52" s="51"/>
    </row>
    <row r="53" spans="7:12" x14ac:dyDescent="0.25">
      <c r="G53" s="49"/>
      <c r="H53" s="49"/>
      <c r="K53" s="51"/>
      <c r="L53" s="51"/>
    </row>
    <row r="54" spans="7:12" x14ac:dyDescent="0.25">
      <c r="G54" s="49"/>
      <c r="H54" s="49"/>
      <c r="K54" s="51"/>
      <c r="L54" s="51"/>
    </row>
    <row r="55" spans="7:12" x14ac:dyDescent="0.25">
      <c r="G55" s="49"/>
      <c r="H55" s="49"/>
      <c r="K55" s="51"/>
      <c r="L55" s="51"/>
    </row>
    <row r="56" spans="7:12" x14ac:dyDescent="0.25">
      <c r="G56" s="49"/>
      <c r="H56" s="49"/>
      <c r="K56" s="51"/>
      <c r="L56" s="51"/>
    </row>
    <row r="57" spans="7:12" x14ac:dyDescent="0.25">
      <c r="G57" s="49"/>
      <c r="H57" s="49"/>
      <c r="K57" s="51"/>
      <c r="L57" s="51"/>
    </row>
    <row r="58" spans="7:12" x14ac:dyDescent="0.25">
      <c r="G58" s="49"/>
      <c r="H58" s="49"/>
      <c r="K58" s="51"/>
      <c r="L58" s="51"/>
    </row>
    <row r="59" spans="7:12" x14ac:dyDescent="0.25">
      <c r="G59" s="49"/>
      <c r="H59" s="49"/>
      <c r="K59" s="51"/>
      <c r="L59" s="51"/>
    </row>
    <row r="60" spans="7:12" x14ac:dyDescent="0.25">
      <c r="G60" s="49"/>
      <c r="H60" s="49"/>
      <c r="K60" s="51"/>
      <c r="L60" s="51"/>
    </row>
    <row r="61" spans="7:12" x14ac:dyDescent="0.25">
      <c r="G61" s="49"/>
      <c r="H61" s="49"/>
      <c r="K61" s="51"/>
      <c r="L61" s="51"/>
    </row>
    <row r="62" spans="7:12" x14ac:dyDescent="0.25">
      <c r="G62" s="49"/>
      <c r="H62" s="49"/>
      <c r="K62" s="51"/>
      <c r="L62" s="51"/>
    </row>
    <row r="63" spans="7:12" x14ac:dyDescent="0.25">
      <c r="G63" s="49"/>
      <c r="H63" s="49"/>
      <c r="K63" s="51"/>
      <c r="L63" s="51"/>
    </row>
    <row r="64" spans="7:12" x14ac:dyDescent="0.25">
      <c r="G64" s="49"/>
      <c r="H64" s="49"/>
      <c r="K64" s="51"/>
      <c r="L64" s="51"/>
    </row>
    <row r="65" spans="7:12" x14ac:dyDescent="0.25">
      <c r="G65" s="49"/>
      <c r="H65" s="49"/>
      <c r="K65" s="51"/>
      <c r="L65" s="51"/>
    </row>
    <row r="66" spans="7:12" x14ac:dyDescent="0.25">
      <c r="G66" s="49"/>
      <c r="H66" s="49"/>
      <c r="K66" s="51"/>
      <c r="L66" s="51"/>
    </row>
    <row r="67" spans="7:12" x14ac:dyDescent="0.25">
      <c r="G67" s="49"/>
      <c r="H67" s="49"/>
      <c r="K67" s="51"/>
      <c r="L67" s="51"/>
    </row>
    <row r="68" spans="7:12" x14ac:dyDescent="0.25">
      <c r="G68" s="49"/>
      <c r="H68" s="49"/>
      <c r="K68" s="51"/>
      <c r="L68" s="51"/>
    </row>
    <row r="69" spans="7:12" x14ac:dyDescent="0.25">
      <c r="G69" s="49"/>
      <c r="H69" s="49"/>
      <c r="K69" s="51"/>
      <c r="L69" s="51"/>
    </row>
    <row r="70" spans="7:12" x14ac:dyDescent="0.25">
      <c r="G70" s="49"/>
      <c r="H70" s="49"/>
      <c r="K70" s="51"/>
      <c r="L70" s="51"/>
    </row>
    <row r="71" spans="7:12" x14ac:dyDescent="0.25">
      <c r="K71" s="51"/>
      <c r="L71" s="51"/>
    </row>
    <row r="72" spans="7:12" x14ac:dyDescent="0.25">
      <c r="K72" s="51"/>
      <c r="L72" s="51"/>
    </row>
    <row r="73" spans="7:12" x14ac:dyDescent="0.25">
      <c r="K73" s="51"/>
      <c r="L73" s="51"/>
    </row>
    <row r="74" spans="7:12" x14ac:dyDescent="0.25">
      <c r="K74" s="51"/>
      <c r="L74" s="51"/>
    </row>
    <row r="75" spans="7:12" x14ac:dyDescent="0.25">
      <c r="K75" s="51"/>
      <c r="L75" s="51"/>
    </row>
    <row r="76" spans="7:12" x14ac:dyDescent="0.25">
      <c r="K76" s="51"/>
      <c r="L76" s="51"/>
    </row>
    <row r="77" spans="7:12" x14ac:dyDescent="0.25">
      <c r="K77" s="51"/>
      <c r="L77" s="51"/>
    </row>
    <row r="78" spans="7:12" x14ac:dyDescent="0.25">
      <c r="K78" s="51"/>
      <c r="L78" s="51"/>
    </row>
    <row r="79" spans="7:12" x14ac:dyDescent="0.25">
      <c r="K79" s="51"/>
      <c r="L79" s="51"/>
    </row>
    <row r="80" spans="7:12" x14ac:dyDescent="0.25">
      <c r="K80" s="51"/>
      <c r="L80" s="51"/>
    </row>
    <row r="81" spans="11:12" x14ac:dyDescent="0.25">
      <c r="K81" s="51"/>
      <c r="L81" s="51"/>
    </row>
    <row r="82" spans="11:12" x14ac:dyDescent="0.25">
      <c r="K82" s="51"/>
      <c r="L82" s="51"/>
    </row>
    <row r="83" spans="11:12" x14ac:dyDescent="0.25">
      <c r="K83" s="51"/>
      <c r="L83" s="51"/>
    </row>
    <row r="84" spans="11:12" x14ac:dyDescent="0.25">
      <c r="K84" s="51"/>
      <c r="L84" s="51"/>
    </row>
    <row r="85" spans="11:12" x14ac:dyDescent="0.25">
      <c r="K85" s="51"/>
      <c r="L85" s="51"/>
    </row>
    <row r="86" spans="11:12" x14ac:dyDescent="0.25">
      <c r="K86" s="51"/>
      <c r="L86" s="51"/>
    </row>
    <row r="87" spans="11:12" x14ac:dyDescent="0.25">
      <c r="K87" s="51"/>
      <c r="L87" s="51"/>
    </row>
    <row r="88" spans="11:12" x14ac:dyDescent="0.25">
      <c r="K88" s="51"/>
      <c r="L88" s="51"/>
    </row>
    <row r="89" spans="11:12" x14ac:dyDescent="0.25">
      <c r="K89" s="51"/>
      <c r="L89" s="51"/>
    </row>
    <row r="90" spans="11:12" x14ac:dyDescent="0.25">
      <c r="K90" s="51"/>
      <c r="L90" s="51"/>
    </row>
    <row r="91" spans="11:12" x14ac:dyDescent="0.25">
      <c r="K91" s="51"/>
      <c r="L91" s="51"/>
    </row>
    <row r="92" spans="11:12" x14ac:dyDescent="0.25">
      <c r="K92" s="51"/>
      <c r="L92" s="51"/>
    </row>
    <row r="93" spans="11:12" x14ac:dyDescent="0.25">
      <c r="K93" s="51"/>
      <c r="L93" s="51"/>
    </row>
    <row r="94" spans="11:12" x14ac:dyDescent="0.25">
      <c r="K94" s="51"/>
      <c r="L94" s="51"/>
    </row>
    <row r="95" spans="11:12" x14ac:dyDescent="0.25">
      <c r="K95" s="51"/>
      <c r="L95" s="51"/>
    </row>
    <row r="96" spans="11:12" x14ac:dyDescent="0.25">
      <c r="K96" s="51"/>
      <c r="L96" s="51"/>
    </row>
    <row r="97" spans="11:12" x14ac:dyDescent="0.25">
      <c r="K97" s="51"/>
      <c r="L97" s="51"/>
    </row>
    <row r="98" spans="11:12" x14ac:dyDescent="0.25">
      <c r="K98" s="51"/>
      <c r="L98" s="51"/>
    </row>
    <row r="99" spans="11:12" x14ac:dyDescent="0.25">
      <c r="K99" s="51"/>
      <c r="L99" s="51"/>
    </row>
    <row r="100" spans="11:12" x14ac:dyDescent="0.25">
      <c r="K100" s="51"/>
      <c r="L100" s="51"/>
    </row>
    <row r="101" spans="11:12" x14ac:dyDescent="0.25">
      <c r="K101" s="51"/>
      <c r="L101" s="51"/>
    </row>
    <row r="102" spans="11:12" x14ac:dyDescent="0.25">
      <c r="K102" s="51"/>
      <c r="L102" s="51"/>
    </row>
    <row r="103" spans="11:12" x14ac:dyDescent="0.25">
      <c r="K103" s="51"/>
      <c r="L103" s="51"/>
    </row>
    <row r="104" spans="11:12" x14ac:dyDescent="0.25">
      <c r="K104" s="51"/>
      <c r="L104" s="51"/>
    </row>
    <row r="105" spans="11:12" x14ac:dyDescent="0.25">
      <c r="K105" s="51"/>
      <c r="L105" s="51"/>
    </row>
    <row r="106" spans="11:12" x14ac:dyDescent="0.25">
      <c r="K106" s="51"/>
      <c r="L106" s="51"/>
    </row>
    <row r="107" spans="11:12" x14ac:dyDescent="0.25">
      <c r="K107" s="51"/>
      <c r="L107" s="51"/>
    </row>
    <row r="108" spans="11:12" x14ac:dyDescent="0.25">
      <c r="K108" s="51"/>
      <c r="L108" s="51"/>
    </row>
    <row r="109" spans="11:12" x14ac:dyDescent="0.25">
      <c r="K109" s="51"/>
      <c r="L109" s="51"/>
    </row>
    <row r="110" spans="11:12" x14ac:dyDescent="0.25">
      <c r="K110" s="51"/>
      <c r="L110" s="51"/>
    </row>
    <row r="111" spans="11:12" x14ac:dyDescent="0.25">
      <c r="K111" s="51"/>
      <c r="L111" s="51"/>
    </row>
    <row r="112" spans="11:12" x14ac:dyDescent="0.25">
      <c r="K112" s="51"/>
      <c r="L112" s="51"/>
    </row>
    <row r="113" spans="11:12" x14ac:dyDescent="0.25">
      <c r="K113" s="51"/>
      <c r="L113" s="51"/>
    </row>
    <row r="114" spans="11:12" x14ac:dyDescent="0.25">
      <c r="K114" s="51"/>
      <c r="L114" s="51"/>
    </row>
    <row r="115" spans="11:12" x14ac:dyDescent="0.25">
      <c r="K115" s="51"/>
      <c r="L115" s="51"/>
    </row>
    <row r="116" spans="11:12" x14ac:dyDescent="0.25">
      <c r="K116" s="51"/>
      <c r="L116" s="51"/>
    </row>
    <row r="117" spans="11:12" x14ac:dyDescent="0.25">
      <c r="K117" s="51"/>
      <c r="L117" s="51"/>
    </row>
    <row r="118" spans="11:12" x14ac:dyDescent="0.25">
      <c r="K118" s="51"/>
      <c r="L118" s="51"/>
    </row>
    <row r="119" spans="11:12" x14ac:dyDescent="0.25">
      <c r="K119" s="51"/>
      <c r="L119" s="51"/>
    </row>
    <row r="120" spans="11:12" x14ac:dyDescent="0.25">
      <c r="K120" s="51"/>
      <c r="L120" s="51"/>
    </row>
    <row r="121" spans="11:12" x14ac:dyDescent="0.25">
      <c r="K121" s="51"/>
      <c r="L121" s="51"/>
    </row>
    <row r="122" spans="11:12" x14ac:dyDescent="0.25">
      <c r="K122" s="51"/>
      <c r="L122" s="51"/>
    </row>
    <row r="123" spans="11:12" x14ac:dyDescent="0.25">
      <c r="K123" s="51"/>
      <c r="L123" s="51"/>
    </row>
    <row r="124" spans="11:12" x14ac:dyDescent="0.25">
      <c r="K124" s="51"/>
      <c r="L124" s="51"/>
    </row>
    <row r="125" spans="11:12" x14ac:dyDescent="0.25">
      <c r="K125" s="51"/>
      <c r="L125" s="51"/>
    </row>
    <row r="126" spans="11:12" x14ac:dyDescent="0.25">
      <c r="K126" s="51"/>
      <c r="L126" s="51"/>
    </row>
    <row r="127" spans="11:12" x14ac:dyDescent="0.25">
      <c r="K127" s="51"/>
      <c r="L127" s="51"/>
    </row>
    <row r="128" spans="11:12" x14ac:dyDescent="0.25">
      <c r="K128" s="51"/>
      <c r="L128" s="51"/>
    </row>
    <row r="129" spans="11:12" x14ac:dyDescent="0.25">
      <c r="K129" s="51"/>
      <c r="L129" s="51"/>
    </row>
    <row r="130" spans="11:12" x14ac:dyDescent="0.25">
      <c r="K130" s="51"/>
      <c r="L130" s="51"/>
    </row>
    <row r="131" spans="11:12" x14ac:dyDescent="0.25">
      <c r="K131" s="51"/>
      <c r="L131" s="51"/>
    </row>
    <row r="132" spans="11:12" x14ac:dyDescent="0.25">
      <c r="K132" s="51"/>
      <c r="L132" s="51"/>
    </row>
    <row r="133" spans="11:12" x14ac:dyDescent="0.25">
      <c r="K133" s="51"/>
      <c r="L133" s="51"/>
    </row>
    <row r="134" spans="11:12" x14ac:dyDescent="0.25">
      <c r="K134" s="51"/>
      <c r="L134" s="51"/>
    </row>
    <row r="135" spans="11:12" x14ac:dyDescent="0.25">
      <c r="K135" s="51"/>
      <c r="L135" s="51"/>
    </row>
    <row r="136" spans="11:12" x14ac:dyDescent="0.25">
      <c r="K136" s="51"/>
      <c r="L136" s="51"/>
    </row>
    <row r="137" spans="11:12" x14ac:dyDescent="0.25">
      <c r="K137" s="51"/>
      <c r="L137" s="51"/>
    </row>
    <row r="138" spans="11:12" x14ac:dyDescent="0.25">
      <c r="K138" s="51"/>
      <c r="L138" s="51"/>
    </row>
    <row r="139" spans="11:12" x14ac:dyDescent="0.25">
      <c r="K139" s="51"/>
      <c r="L139" s="51"/>
    </row>
    <row r="140" spans="11:12" x14ac:dyDescent="0.25">
      <c r="K140" s="51"/>
      <c r="L140" s="51"/>
    </row>
    <row r="141" spans="11:12" x14ac:dyDescent="0.25">
      <c r="K141" s="51"/>
      <c r="L141" s="51"/>
    </row>
    <row r="142" spans="11:12" x14ac:dyDescent="0.25">
      <c r="K142" s="51"/>
      <c r="L142" s="51"/>
    </row>
    <row r="143" spans="11:12" x14ac:dyDescent="0.25">
      <c r="K143" s="51"/>
      <c r="L143" s="51"/>
    </row>
    <row r="144" spans="11:12" x14ac:dyDescent="0.25">
      <c r="K144" s="51"/>
      <c r="L144" s="51"/>
    </row>
    <row r="145" spans="11:12" x14ac:dyDescent="0.25">
      <c r="K145" s="51"/>
      <c r="L145" s="51"/>
    </row>
    <row r="146" spans="11:12" x14ac:dyDescent="0.25">
      <c r="K146" s="51"/>
      <c r="L146" s="51"/>
    </row>
    <row r="147" spans="11:12" x14ac:dyDescent="0.25">
      <c r="K147" s="51"/>
      <c r="L147" s="51"/>
    </row>
    <row r="148" spans="11:12" x14ac:dyDescent="0.25">
      <c r="K148" s="51"/>
      <c r="L148" s="51"/>
    </row>
    <row r="149" spans="11:12" x14ac:dyDescent="0.25">
      <c r="K149" s="51"/>
      <c r="L149" s="51"/>
    </row>
    <row r="150" spans="11:12" x14ac:dyDescent="0.25">
      <c r="K150" s="51"/>
      <c r="L150" s="51"/>
    </row>
    <row r="151" spans="11:12" x14ac:dyDescent="0.25">
      <c r="K151" s="51"/>
      <c r="L151" s="51"/>
    </row>
    <row r="152" spans="11:12" x14ac:dyDescent="0.25">
      <c r="K152" s="51"/>
      <c r="L152" s="51"/>
    </row>
    <row r="153" spans="11:12" x14ac:dyDescent="0.25">
      <c r="K153" s="51"/>
      <c r="L153" s="51"/>
    </row>
    <row r="154" spans="11:12" x14ac:dyDescent="0.25">
      <c r="K154" s="51"/>
      <c r="L154" s="51"/>
    </row>
    <row r="155" spans="11:12" x14ac:dyDescent="0.25">
      <c r="K155" s="51"/>
      <c r="L155" s="51"/>
    </row>
    <row r="156" spans="11:12" x14ac:dyDescent="0.25">
      <c r="K156" s="51"/>
      <c r="L156" s="51"/>
    </row>
    <row r="157" spans="11:12" x14ac:dyDescent="0.25">
      <c r="K157" s="51"/>
      <c r="L157" s="51"/>
    </row>
    <row r="158" spans="11:12" x14ac:dyDescent="0.25">
      <c r="K158" s="51"/>
      <c r="L158" s="51"/>
    </row>
    <row r="159" spans="11:12" x14ac:dyDescent="0.25">
      <c r="K159" s="51"/>
      <c r="L159" s="51"/>
    </row>
    <row r="160" spans="11:12" x14ac:dyDescent="0.25">
      <c r="K160" s="51"/>
      <c r="L160" s="51"/>
    </row>
    <row r="161" spans="11:12" x14ac:dyDescent="0.25">
      <c r="K161" s="51"/>
      <c r="L161" s="51"/>
    </row>
    <row r="162" spans="11:12" x14ac:dyDescent="0.25">
      <c r="K162" s="51"/>
      <c r="L162" s="51"/>
    </row>
    <row r="163" spans="11:12" x14ac:dyDescent="0.25">
      <c r="K163" s="51"/>
      <c r="L163" s="51"/>
    </row>
    <row r="164" spans="11:12" x14ac:dyDescent="0.25">
      <c r="K164" s="51"/>
      <c r="L164" s="51"/>
    </row>
    <row r="165" spans="11:12" x14ac:dyDescent="0.25">
      <c r="K165" s="51"/>
      <c r="L165" s="51"/>
    </row>
    <row r="166" spans="11:12" x14ac:dyDescent="0.25">
      <c r="L166" s="51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nds_Inter">
                <anchor moveWithCells="1" sizeWithCells="1">
                  <from>
                    <xdr:col>9</xdr:col>
                    <xdr:colOff>238125</xdr:colOff>
                    <xdr:row>8</xdr:row>
                    <xdr:rowOff>161925</xdr:rowOff>
                  </from>
                  <to>
                    <xdr:col>11</xdr:col>
                    <xdr:colOff>1028700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_xludf.Clear">
                <anchor moveWithCells="1" sizeWithCells="1">
                  <from>
                    <xdr:col>9</xdr:col>
                    <xdr:colOff>266700</xdr:colOff>
                    <xdr:row>13</xdr:row>
                    <xdr:rowOff>0</xdr:rowOff>
                  </from>
                  <to>
                    <xdr:col>10</xdr:col>
                    <xdr:colOff>600075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7F73BBB-69C4-4CF3-A4A3-09DCF4EE5D0E}">
          <x14:formula1>
            <xm:f>Data!$A$3:$A$6</xm:f>
          </x14:formula1>
          <xm:sqref>D12</xm:sqref>
        </x14:dataValidation>
        <x14:dataValidation type="list" allowBlank="1" showInputMessage="1" showErrorMessage="1" xr:uid="{A606CA5F-38A6-4AC0-9D89-03CCF3270BE8}">
          <x14:formula1>
            <xm:f>Data!$E$2:$F$2</xm:f>
          </x14:formula1>
          <xm:sqref>D16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A2C47-38F5-4C26-ACB4-ABC49C2D7058}">
  <sheetPr codeName="Feuil4"/>
  <dimension ref="A2:I26"/>
  <sheetViews>
    <sheetView zoomScale="84" zoomScaleNormal="88" workbookViewId="0">
      <selection activeCell="E32" sqref="E32"/>
    </sheetView>
  </sheetViews>
  <sheetFormatPr baseColWidth="10" defaultRowHeight="15.75" x14ac:dyDescent="0.25"/>
  <cols>
    <col min="1" max="1" width="19.85546875" style="4" customWidth="1"/>
    <col min="2" max="2" width="17.42578125" style="4" customWidth="1"/>
    <col min="3" max="3" width="23.5703125" style="4" customWidth="1"/>
    <col min="4" max="4" width="19.140625" style="4" customWidth="1"/>
    <col min="5" max="5" width="20" style="4" customWidth="1"/>
    <col min="6" max="6" width="17.85546875" style="4" customWidth="1"/>
    <col min="7" max="7" width="15" style="4" customWidth="1"/>
    <col min="8" max="8" width="16.85546875" style="4" customWidth="1"/>
    <col min="9" max="9" width="19.85546875" style="4" customWidth="1"/>
    <col min="10" max="10" width="15.28515625" style="4" customWidth="1"/>
    <col min="11" max="11" width="17.85546875" style="4" customWidth="1"/>
    <col min="12" max="12" width="18.28515625" style="4" customWidth="1"/>
    <col min="13" max="16384" width="11.42578125" style="4"/>
  </cols>
  <sheetData>
    <row r="2" spans="2:9" x14ac:dyDescent="0.25">
      <c r="B2" s="5"/>
      <c r="C2" s="6"/>
      <c r="D2" s="7" t="s">
        <v>41</v>
      </c>
      <c r="E2" s="6"/>
      <c r="F2" s="8"/>
    </row>
    <row r="3" spans="2:9" x14ac:dyDescent="0.25">
      <c r="B3" s="9"/>
      <c r="C3" s="10"/>
      <c r="D3" s="11"/>
      <c r="E3" s="11"/>
      <c r="F3" s="12"/>
    </row>
    <row r="4" spans="2:9" x14ac:dyDescent="0.25">
      <c r="B4" s="9"/>
      <c r="C4" s="13" t="s">
        <v>26</v>
      </c>
      <c r="D4" s="52"/>
      <c r="E4" s="11"/>
      <c r="F4" s="12"/>
    </row>
    <row r="5" spans="2:9" x14ac:dyDescent="0.25">
      <c r="B5" s="9"/>
      <c r="C5" s="13"/>
      <c r="D5" s="11"/>
      <c r="E5" s="11"/>
      <c r="F5" s="12"/>
    </row>
    <row r="6" spans="2:9" ht="16.5" customHeight="1" x14ac:dyDescent="0.25">
      <c r="B6" s="9"/>
      <c r="C6" s="13" t="s">
        <v>28</v>
      </c>
      <c r="D6" s="52"/>
      <c r="E6" s="11" t="s">
        <v>29</v>
      </c>
      <c r="F6" s="12"/>
      <c r="H6" s="53" t="s">
        <v>30</v>
      </c>
      <c r="I6" s="54"/>
    </row>
    <row r="7" spans="2:9" x14ac:dyDescent="0.25">
      <c r="B7" s="9"/>
      <c r="C7" s="13"/>
      <c r="D7" s="11"/>
      <c r="E7" s="11"/>
      <c r="F7" s="12"/>
    </row>
    <row r="8" spans="2:9" ht="18" customHeight="1" x14ac:dyDescent="0.25">
      <c r="B8" s="9"/>
      <c r="C8" s="13" t="s">
        <v>32</v>
      </c>
      <c r="D8" s="55"/>
      <c r="E8" s="11"/>
      <c r="F8" s="12"/>
      <c r="H8" s="53" t="s">
        <v>31</v>
      </c>
      <c r="I8" s="54"/>
    </row>
    <row r="9" spans="2:9" x14ac:dyDescent="0.25">
      <c r="B9" s="9"/>
      <c r="C9" s="13"/>
      <c r="D9" s="11"/>
      <c r="E9" s="11"/>
      <c r="F9" s="12"/>
    </row>
    <row r="10" spans="2:9" x14ac:dyDescent="0.25">
      <c r="B10" s="9"/>
      <c r="C10" s="13" t="s">
        <v>33</v>
      </c>
      <c r="D10" s="52"/>
      <c r="E10" s="11"/>
      <c r="F10" s="12"/>
    </row>
    <row r="11" spans="2:9" x14ac:dyDescent="0.25">
      <c r="B11" s="9"/>
      <c r="C11" s="13"/>
      <c r="D11" s="11"/>
      <c r="E11" s="11"/>
      <c r="F11" s="12"/>
    </row>
    <row r="12" spans="2:9" x14ac:dyDescent="0.25">
      <c r="B12" s="9"/>
      <c r="C12" s="13" t="s">
        <v>27</v>
      </c>
      <c r="D12" s="55"/>
      <c r="E12" s="11"/>
      <c r="F12" s="12"/>
    </row>
    <row r="13" spans="2:9" x14ac:dyDescent="0.25">
      <c r="B13" s="14"/>
      <c r="C13" s="15"/>
      <c r="D13" s="16"/>
      <c r="E13" s="16"/>
      <c r="F13" s="17"/>
    </row>
    <row r="14" spans="2:9" x14ac:dyDescent="0.25">
      <c r="C14" s="3"/>
    </row>
    <row r="15" spans="2:9" x14ac:dyDescent="0.25">
      <c r="C15" s="3"/>
    </row>
    <row r="16" spans="2:9" x14ac:dyDescent="0.25">
      <c r="C16" s="3"/>
      <c r="D16" s="56"/>
    </row>
    <row r="19" spans="1:7" x14ac:dyDescent="0.25">
      <c r="A19" s="173" t="s">
        <v>36</v>
      </c>
      <c r="B19" s="57"/>
      <c r="C19" s="57"/>
      <c r="D19" s="57"/>
      <c r="E19" s="58"/>
    </row>
    <row r="20" spans="1:7" s="2" customFormat="1" x14ac:dyDescent="0.25">
      <c r="A20" s="176"/>
      <c r="B20" s="178"/>
      <c r="C20" s="174"/>
      <c r="D20" s="174"/>
      <c r="E20" s="59"/>
    </row>
    <row r="21" spans="1:7" x14ac:dyDescent="0.25">
      <c r="A21" s="175"/>
      <c r="B21" s="60"/>
      <c r="C21" s="60"/>
      <c r="D21" s="60"/>
      <c r="E21" s="61"/>
      <c r="G21" s="62"/>
    </row>
    <row r="24" spans="1:7" x14ac:dyDescent="0.25">
      <c r="A24" s="68"/>
    </row>
    <row r="25" spans="1:7" x14ac:dyDescent="0.25">
      <c r="A25" s="68"/>
    </row>
    <row r="26" spans="1:7" x14ac:dyDescent="0.25">
      <c r="A26" s="68"/>
    </row>
  </sheetData>
  <mergeCells count="1">
    <mergeCell ref="A19:A21"/>
  </mergeCells>
  <dataValidations count="1">
    <dataValidation allowBlank="1" showInputMessage="1" showErrorMessage="1" sqref="D12" xr:uid="{38B764FA-C1FF-48A5-948A-DDAA3982505C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3" name="Button 4">
              <controlPr defaultSize="0" print="0" autoFill="0" autoPict="0" macro="[0]!CallPrice">
                <anchor moveWithCells="1" sizeWithCells="1">
                  <from>
                    <xdr:col>1</xdr:col>
                    <xdr:colOff>581025</xdr:colOff>
                    <xdr:row>18</xdr:row>
                    <xdr:rowOff>76200</xdr:rowOff>
                  </from>
                  <to>
                    <xdr:col>2</xdr:col>
                    <xdr:colOff>1019175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PutPrice">
                <anchor moveWithCells="1" sizeWithCells="1">
                  <from>
                    <xdr:col>3</xdr:col>
                    <xdr:colOff>66675</xdr:colOff>
                    <xdr:row>18</xdr:row>
                    <xdr:rowOff>76200</xdr:rowOff>
                  </from>
                  <to>
                    <xdr:col>4</xdr:col>
                    <xdr:colOff>400050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Button 8">
              <controlPr defaultSize="0" print="0" autoFill="0" autoPict="0" macro="[0]!ClearO_BS.ClearO_BS">
                <anchor moveWithCells="1" sizeWithCells="1">
                  <from>
                    <xdr:col>4</xdr:col>
                    <xdr:colOff>895350</xdr:colOff>
                    <xdr:row>18</xdr:row>
                    <xdr:rowOff>85725</xdr:rowOff>
                  </from>
                  <to>
                    <xdr:col>5</xdr:col>
                    <xdr:colOff>685800</xdr:colOff>
                    <xdr:row>23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41891-A420-4528-B4C3-204AC04FA1FC}">
  <sheetPr codeName="Feuil5"/>
  <dimension ref="A2:J28"/>
  <sheetViews>
    <sheetView zoomScale="84" workbookViewId="0">
      <selection activeCell="D28" sqref="D28"/>
    </sheetView>
  </sheetViews>
  <sheetFormatPr baseColWidth="10" defaultRowHeight="15.75" x14ac:dyDescent="0.25"/>
  <cols>
    <col min="1" max="1" width="18.140625" style="28" customWidth="1"/>
    <col min="2" max="2" width="20.28515625" style="28" customWidth="1"/>
    <col min="3" max="4" width="23.85546875" style="28" customWidth="1"/>
    <col min="5" max="5" width="17.28515625" style="28" customWidth="1"/>
    <col min="6" max="7" width="11.42578125" style="28"/>
    <col min="8" max="8" width="14.7109375" style="28" customWidth="1"/>
    <col min="9" max="9" width="20.42578125" style="28" customWidth="1"/>
    <col min="10" max="10" width="15.85546875" style="28" customWidth="1"/>
    <col min="11" max="16384" width="11.42578125" style="28"/>
  </cols>
  <sheetData>
    <row r="2" spans="2:10" x14ac:dyDescent="0.25">
      <c r="B2" s="69"/>
      <c r="C2" s="70"/>
      <c r="D2" s="7" t="s">
        <v>40</v>
      </c>
      <c r="E2" s="70"/>
      <c r="F2" s="71"/>
    </row>
    <row r="3" spans="2:10" x14ac:dyDescent="0.25">
      <c r="B3" s="72"/>
      <c r="C3" s="73"/>
      <c r="D3" s="73"/>
      <c r="E3" s="73"/>
      <c r="F3" s="74"/>
    </row>
    <row r="4" spans="2:10" x14ac:dyDescent="0.25">
      <c r="B4" s="72"/>
      <c r="C4" s="11" t="s">
        <v>26</v>
      </c>
      <c r="D4" s="52"/>
      <c r="E4" s="73"/>
      <c r="F4" s="74"/>
    </row>
    <row r="5" spans="2:10" x14ac:dyDescent="0.25">
      <c r="B5" s="72"/>
      <c r="C5" s="11"/>
      <c r="D5" s="11"/>
      <c r="E5" s="73"/>
      <c r="F5" s="74"/>
      <c r="I5" s="4"/>
      <c r="J5" s="4"/>
    </row>
    <row r="6" spans="2:10" x14ac:dyDescent="0.25">
      <c r="B6" s="72"/>
      <c r="C6" s="11" t="s">
        <v>28</v>
      </c>
      <c r="D6" s="52"/>
      <c r="E6" s="11" t="s">
        <v>42</v>
      </c>
      <c r="F6" s="74"/>
      <c r="H6" s="53" t="s">
        <v>30</v>
      </c>
      <c r="I6" s="54"/>
      <c r="J6" s="84"/>
    </row>
    <row r="7" spans="2:10" x14ac:dyDescent="0.25">
      <c r="B7" s="72"/>
      <c r="C7" s="11"/>
      <c r="D7" s="11"/>
      <c r="E7" s="73"/>
      <c r="F7" s="74"/>
      <c r="H7" s="4"/>
      <c r="I7" s="4"/>
      <c r="J7" s="4"/>
    </row>
    <row r="8" spans="2:10" x14ac:dyDescent="0.25">
      <c r="B8" s="72"/>
      <c r="C8" s="11" t="s">
        <v>32</v>
      </c>
      <c r="D8" s="55"/>
      <c r="E8" s="73"/>
      <c r="F8" s="74"/>
      <c r="H8" s="53" t="s">
        <v>31</v>
      </c>
      <c r="I8" s="54"/>
      <c r="J8" s="84"/>
    </row>
    <row r="9" spans="2:10" x14ac:dyDescent="0.25">
      <c r="B9" s="72"/>
      <c r="C9" s="11"/>
      <c r="D9" s="11"/>
      <c r="E9" s="73"/>
      <c r="F9" s="74"/>
      <c r="I9" s="4"/>
      <c r="J9" s="4"/>
    </row>
    <row r="10" spans="2:10" x14ac:dyDescent="0.25">
      <c r="B10" s="72"/>
      <c r="C10" s="11" t="s">
        <v>33</v>
      </c>
      <c r="D10" s="52"/>
      <c r="E10" s="73"/>
      <c r="F10" s="74"/>
    </row>
    <row r="11" spans="2:10" x14ac:dyDescent="0.25">
      <c r="B11" s="72"/>
      <c r="C11" s="11"/>
      <c r="D11" s="11"/>
      <c r="E11" s="73"/>
      <c r="F11" s="74"/>
    </row>
    <row r="12" spans="2:10" x14ac:dyDescent="0.25">
      <c r="B12" s="72"/>
      <c r="C12" s="11" t="s">
        <v>27</v>
      </c>
      <c r="D12" s="55"/>
      <c r="E12" s="73"/>
      <c r="F12" s="74"/>
    </row>
    <row r="13" spans="2:10" x14ac:dyDescent="0.25">
      <c r="B13" s="72"/>
      <c r="C13" s="11"/>
      <c r="D13" s="11"/>
      <c r="E13" s="73"/>
      <c r="F13" s="74"/>
    </row>
    <row r="14" spans="2:10" x14ac:dyDescent="0.25">
      <c r="B14" s="72"/>
      <c r="C14" s="11" t="s">
        <v>38</v>
      </c>
      <c r="D14" s="52"/>
      <c r="E14" s="73"/>
      <c r="F14" s="74"/>
    </row>
    <row r="15" spans="2:10" x14ac:dyDescent="0.25">
      <c r="B15" s="72"/>
      <c r="C15" s="73"/>
      <c r="D15" s="11"/>
      <c r="E15" s="73"/>
      <c r="F15" s="74"/>
    </row>
    <row r="16" spans="2:10" x14ac:dyDescent="0.25">
      <c r="B16" s="72"/>
      <c r="C16" s="11" t="s">
        <v>39</v>
      </c>
      <c r="D16" s="52">
        <v>0</v>
      </c>
      <c r="E16" s="73"/>
      <c r="F16" s="74"/>
    </row>
    <row r="17" spans="1:6" x14ac:dyDescent="0.25">
      <c r="B17" s="75"/>
      <c r="C17" s="76"/>
      <c r="D17" s="76"/>
      <c r="E17" s="76"/>
      <c r="F17" s="77"/>
    </row>
    <row r="22" spans="1:6" x14ac:dyDescent="0.25">
      <c r="A22" s="4"/>
      <c r="B22" s="4"/>
      <c r="C22" s="4"/>
      <c r="D22" s="4"/>
      <c r="E22" s="4"/>
      <c r="F22" s="4"/>
    </row>
    <row r="23" spans="1:6" x14ac:dyDescent="0.25">
      <c r="A23" s="163" t="s">
        <v>37</v>
      </c>
      <c r="B23" s="78"/>
      <c r="C23" s="78"/>
      <c r="D23" s="78"/>
      <c r="E23" s="79"/>
      <c r="F23" s="4"/>
    </row>
    <row r="24" spans="1:6" x14ac:dyDescent="0.25">
      <c r="A24" s="177"/>
      <c r="B24" s="80"/>
      <c r="C24" s="80"/>
      <c r="D24" s="80"/>
      <c r="E24" s="81"/>
      <c r="F24" s="2"/>
    </row>
    <row r="25" spans="1:6" x14ac:dyDescent="0.25">
      <c r="A25" s="164"/>
      <c r="B25" s="82"/>
      <c r="C25" s="82"/>
      <c r="D25" s="82"/>
      <c r="E25" s="83"/>
      <c r="F25" s="4"/>
    </row>
    <row r="26" spans="1:6" x14ac:dyDescent="0.25">
      <c r="A26" s="4"/>
      <c r="B26" s="4"/>
      <c r="C26" s="4"/>
      <c r="D26" s="4"/>
      <c r="E26" s="4"/>
      <c r="F26" s="4"/>
    </row>
    <row r="27" spans="1:6" x14ac:dyDescent="0.25">
      <c r="A27" s="4"/>
      <c r="B27" s="4"/>
      <c r="C27" s="4"/>
      <c r="D27" s="4"/>
      <c r="E27" s="4"/>
      <c r="F27" s="4"/>
    </row>
    <row r="28" spans="1:6" x14ac:dyDescent="0.25">
      <c r="A28" s="68"/>
      <c r="B28" s="4"/>
      <c r="C28" s="4"/>
      <c r="D28" s="4"/>
      <c r="E28" s="4"/>
      <c r="F28" s="4"/>
    </row>
  </sheetData>
  <mergeCells count="1">
    <mergeCell ref="A23:A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3" name="Button 4">
              <controlPr defaultSize="0" print="0" autoFill="0" autoPict="0" macro="[0]!CallP">
                <anchor moveWithCells="1" sizeWithCells="1">
                  <from>
                    <xdr:col>1</xdr:col>
                    <xdr:colOff>581025</xdr:colOff>
                    <xdr:row>22</xdr:row>
                    <xdr:rowOff>76200</xdr:rowOff>
                  </from>
                  <to>
                    <xdr:col>2</xdr:col>
                    <xdr:colOff>1028700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Button 5">
              <controlPr defaultSize="0" print="0" autoFill="0" autoPict="0" macro="[0]!PutP">
                <anchor moveWithCells="1" sizeWithCells="1">
                  <from>
                    <xdr:col>3</xdr:col>
                    <xdr:colOff>66675</xdr:colOff>
                    <xdr:row>22</xdr:row>
                    <xdr:rowOff>76200</xdr:rowOff>
                  </from>
                  <to>
                    <xdr:col>4</xdr:col>
                    <xdr:colOff>400050</xdr:colOff>
                    <xdr:row>24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5" name="Button 6">
              <controlPr defaultSize="0" print="0" autoFill="0" autoPict="0" macro="[0]!ClearO_MC.ClearO_MC">
                <anchor moveWithCells="1" sizeWithCells="1">
                  <from>
                    <xdr:col>4</xdr:col>
                    <xdr:colOff>895350</xdr:colOff>
                    <xdr:row>22</xdr:row>
                    <xdr:rowOff>85725</xdr:rowOff>
                  </from>
                  <to>
                    <xdr:col>6</xdr:col>
                    <xdr:colOff>200025</xdr:colOff>
                    <xdr:row>27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1E621-2A12-45F3-97DE-8F96C1927349}">
  <sheetPr codeName="Feuil6"/>
  <dimension ref="A1:O578"/>
  <sheetViews>
    <sheetView tabSelected="1" topLeftCell="A4" zoomScale="82" workbookViewId="0">
      <selection activeCell="I40" sqref="I40"/>
    </sheetView>
  </sheetViews>
  <sheetFormatPr baseColWidth="10" defaultRowHeight="15" x14ac:dyDescent="0.25"/>
  <cols>
    <col min="2" max="2" width="16.28515625" customWidth="1"/>
    <col min="4" max="4" width="19" customWidth="1"/>
    <col min="5" max="5" width="19.140625" style="1" customWidth="1"/>
    <col min="6" max="6" width="17" customWidth="1"/>
    <col min="9" max="9" width="19.42578125" customWidth="1"/>
    <col min="10" max="10" width="15.85546875" style="85" customWidth="1"/>
    <col min="11" max="11" width="15.5703125" customWidth="1"/>
    <col min="12" max="12" width="17.42578125" customWidth="1"/>
    <col min="13" max="13" width="16.5703125" customWidth="1"/>
    <col min="14" max="14" width="17.140625" customWidth="1"/>
    <col min="15" max="15" width="19.140625" customWidth="1"/>
  </cols>
  <sheetData>
    <row r="1" spans="2:14" x14ac:dyDescent="0.25">
      <c r="E1" s="85"/>
    </row>
    <row r="2" spans="2:14" ht="15.75" thickBot="1" x14ac:dyDescent="0.3"/>
    <row r="3" spans="2:14" x14ac:dyDescent="0.25">
      <c r="B3" s="89"/>
      <c r="C3" s="90"/>
      <c r="D3" s="90"/>
      <c r="E3" s="91"/>
      <c r="F3" s="90"/>
      <c r="G3" s="90"/>
      <c r="H3" s="90"/>
      <c r="I3" s="90"/>
      <c r="J3" s="92"/>
      <c r="K3" s="90"/>
      <c r="L3" s="93"/>
    </row>
    <row r="4" spans="2:14" ht="15.75" thickBot="1" x14ac:dyDescent="0.3">
      <c r="B4" s="94"/>
      <c r="C4" s="98"/>
      <c r="D4" s="98"/>
      <c r="E4" s="88"/>
      <c r="F4" s="98"/>
      <c r="G4" s="98"/>
      <c r="H4" s="98"/>
      <c r="I4" s="98"/>
      <c r="J4" s="107"/>
      <c r="K4" s="98"/>
      <c r="L4" s="95"/>
    </row>
    <row r="5" spans="2:14" ht="24" thickBot="1" x14ac:dyDescent="0.3">
      <c r="B5" s="94"/>
      <c r="C5" s="98"/>
      <c r="D5" s="98"/>
      <c r="E5" s="165" t="s">
        <v>43</v>
      </c>
      <c r="F5" s="166"/>
      <c r="G5" s="166"/>
      <c r="H5" s="166"/>
      <c r="I5" s="167"/>
      <c r="J5" s="107"/>
      <c r="K5" s="98"/>
      <c r="L5" s="95"/>
      <c r="N5" s="136"/>
    </row>
    <row r="6" spans="2:14" ht="15.75" thickBot="1" x14ac:dyDescent="0.3">
      <c r="B6" s="94"/>
      <c r="C6" s="98"/>
      <c r="D6" s="98"/>
      <c r="E6" s="88"/>
      <c r="F6" s="98"/>
      <c r="G6" s="98"/>
      <c r="H6" s="98"/>
      <c r="I6" s="98"/>
      <c r="J6" s="107"/>
      <c r="K6" s="98"/>
      <c r="L6" s="95"/>
      <c r="N6" s="137"/>
    </row>
    <row r="7" spans="2:14" ht="16.5" thickBot="1" x14ac:dyDescent="0.3">
      <c r="B7" s="94"/>
      <c r="C7" s="89"/>
      <c r="D7" s="168" t="s">
        <v>44</v>
      </c>
      <c r="E7" s="169"/>
      <c r="F7" s="96"/>
      <c r="G7" s="109"/>
      <c r="H7" s="89"/>
      <c r="I7" s="168" t="s">
        <v>45</v>
      </c>
      <c r="J7" s="169"/>
      <c r="K7" s="96"/>
      <c r="L7" s="95"/>
      <c r="N7" s="138"/>
    </row>
    <row r="8" spans="2:14" ht="15.75" thickBot="1" x14ac:dyDescent="0.3">
      <c r="B8" s="94"/>
      <c r="C8" s="94"/>
      <c r="D8" s="97"/>
      <c r="E8" s="87"/>
      <c r="F8" s="95"/>
      <c r="G8" s="98"/>
      <c r="H8" s="94"/>
      <c r="I8" s="97"/>
      <c r="J8" s="106"/>
      <c r="K8" s="95"/>
      <c r="L8" s="95"/>
      <c r="N8" s="138"/>
    </row>
    <row r="9" spans="2:14" ht="15.75" thickBot="1" x14ac:dyDescent="0.3">
      <c r="B9" s="94"/>
      <c r="C9" s="94"/>
      <c r="D9" s="97" t="s">
        <v>46</v>
      </c>
      <c r="E9" s="142"/>
      <c r="F9" s="95"/>
      <c r="G9" s="98"/>
      <c r="H9" s="94"/>
      <c r="I9" s="97" t="s">
        <v>46</v>
      </c>
      <c r="J9" s="143"/>
      <c r="K9" s="95"/>
      <c r="L9" s="95"/>
      <c r="N9" s="138"/>
    </row>
    <row r="10" spans="2:14" ht="15.75" thickBot="1" x14ac:dyDescent="0.3">
      <c r="B10" s="94"/>
      <c r="C10" s="94"/>
      <c r="D10" s="97"/>
      <c r="E10" s="88"/>
      <c r="F10" s="95"/>
      <c r="G10" s="98"/>
      <c r="H10" s="94"/>
      <c r="I10" s="97"/>
      <c r="J10" s="107"/>
      <c r="K10" s="95"/>
      <c r="L10" s="95"/>
      <c r="N10" s="138"/>
    </row>
    <row r="11" spans="2:14" ht="15.75" thickBot="1" x14ac:dyDescent="0.3">
      <c r="B11" s="94"/>
      <c r="C11" s="94"/>
      <c r="D11" s="97" t="s">
        <v>3</v>
      </c>
      <c r="E11" s="104"/>
      <c r="F11" s="95"/>
      <c r="G11" s="98"/>
      <c r="H11" s="94"/>
      <c r="I11" s="97" t="s">
        <v>3</v>
      </c>
      <c r="J11" s="108"/>
      <c r="K11" s="95"/>
      <c r="L11" s="95"/>
      <c r="N11" s="138"/>
    </row>
    <row r="12" spans="2:14" ht="15.75" thickBot="1" x14ac:dyDescent="0.3">
      <c r="B12" s="94"/>
      <c r="C12" s="94"/>
      <c r="D12" s="97"/>
      <c r="E12" s="88"/>
      <c r="F12" s="95"/>
      <c r="G12" s="98"/>
      <c r="H12" s="94"/>
      <c r="I12" s="97"/>
      <c r="J12" s="107"/>
      <c r="K12" s="95"/>
      <c r="L12" s="95"/>
      <c r="N12" s="138"/>
    </row>
    <row r="13" spans="2:14" ht="15.75" thickBot="1" x14ac:dyDescent="0.3">
      <c r="B13" s="94"/>
      <c r="C13" s="94"/>
      <c r="D13" s="97" t="s">
        <v>2</v>
      </c>
      <c r="E13" s="104"/>
      <c r="F13" s="95"/>
      <c r="G13" s="98"/>
      <c r="H13" s="94"/>
      <c r="I13" s="97" t="s">
        <v>2</v>
      </c>
      <c r="J13" s="108"/>
      <c r="K13" s="95"/>
      <c r="L13" s="95"/>
      <c r="N13" s="138"/>
    </row>
    <row r="14" spans="2:14" ht="15.75" thickBot="1" x14ac:dyDescent="0.3">
      <c r="B14" s="94"/>
      <c r="C14" s="94"/>
      <c r="D14" s="97"/>
      <c r="E14" s="88"/>
      <c r="F14" s="95"/>
      <c r="G14" s="98"/>
      <c r="H14" s="94"/>
      <c r="I14" s="97"/>
      <c r="J14" s="107"/>
      <c r="K14" s="95"/>
      <c r="L14" s="95"/>
      <c r="N14" s="138"/>
    </row>
    <row r="15" spans="2:14" ht="15.75" thickBot="1" x14ac:dyDescent="0.3">
      <c r="B15" s="94"/>
      <c r="C15" s="94"/>
      <c r="D15" s="97" t="s">
        <v>5</v>
      </c>
      <c r="E15" s="104"/>
      <c r="F15" s="95"/>
      <c r="G15" s="98"/>
      <c r="H15" s="94"/>
      <c r="I15" s="97" t="s">
        <v>5</v>
      </c>
      <c r="J15" s="108"/>
      <c r="K15" s="95"/>
      <c r="L15" s="95"/>
      <c r="N15" s="138"/>
    </row>
    <row r="16" spans="2:14" ht="15.75" thickBot="1" x14ac:dyDescent="0.3">
      <c r="B16" s="94"/>
      <c r="C16" s="94"/>
      <c r="D16" s="97"/>
      <c r="E16" s="88"/>
      <c r="F16" s="95"/>
      <c r="G16" s="98"/>
      <c r="H16" s="94"/>
      <c r="I16" s="97"/>
      <c r="J16" s="107"/>
      <c r="K16" s="95"/>
      <c r="L16" s="95"/>
      <c r="N16" s="138"/>
    </row>
    <row r="17" spans="1:15" ht="15.75" thickBot="1" x14ac:dyDescent="0.3">
      <c r="B17" s="94"/>
      <c r="C17" s="94"/>
      <c r="D17" s="97" t="s">
        <v>48</v>
      </c>
      <c r="E17" s="104"/>
      <c r="F17" s="95"/>
      <c r="G17" s="98"/>
      <c r="H17" s="94"/>
      <c r="I17" s="97" t="s">
        <v>47</v>
      </c>
      <c r="J17" s="108"/>
      <c r="K17" s="95"/>
      <c r="L17" s="95"/>
      <c r="N17" s="139"/>
    </row>
    <row r="18" spans="1:15" ht="15.75" thickBot="1" x14ac:dyDescent="0.3">
      <c r="B18" s="94"/>
      <c r="C18" s="94"/>
      <c r="D18" s="97"/>
      <c r="E18" s="88"/>
      <c r="F18" s="95"/>
      <c r="G18" s="98"/>
      <c r="H18" s="94"/>
      <c r="I18" s="97"/>
      <c r="J18" s="107"/>
      <c r="K18" s="95"/>
      <c r="L18" s="95"/>
    </row>
    <row r="19" spans="1:15" ht="15.75" thickBot="1" x14ac:dyDescent="0.3">
      <c r="B19" s="94"/>
      <c r="C19" s="94"/>
      <c r="D19" s="97" t="s">
        <v>6</v>
      </c>
      <c r="E19" s="104" t="s">
        <v>22</v>
      </c>
      <c r="F19" s="95"/>
      <c r="G19" s="98"/>
      <c r="H19" s="94"/>
      <c r="I19" s="97" t="s">
        <v>6</v>
      </c>
      <c r="J19" s="108" t="s">
        <v>22</v>
      </c>
      <c r="K19" s="95"/>
      <c r="L19" s="95"/>
    </row>
    <row r="20" spans="1:15" ht="15.75" thickBot="1" x14ac:dyDescent="0.3">
      <c r="B20" s="94"/>
      <c r="C20" s="94"/>
      <c r="D20" s="97"/>
      <c r="E20" s="88"/>
      <c r="F20" s="95"/>
      <c r="G20" s="98"/>
      <c r="H20" s="94"/>
      <c r="I20" s="97"/>
      <c r="J20" s="107"/>
      <c r="K20" s="95"/>
      <c r="L20" s="95"/>
    </row>
    <row r="21" spans="1:15" ht="15.75" thickBot="1" x14ac:dyDescent="0.3">
      <c r="B21" s="94"/>
      <c r="C21" s="94"/>
      <c r="D21" s="103" t="s">
        <v>54</v>
      </c>
      <c r="E21" s="108"/>
      <c r="F21" s="95"/>
      <c r="G21" s="98"/>
      <c r="H21" s="94"/>
      <c r="I21" s="103" t="s">
        <v>54</v>
      </c>
      <c r="J21" s="108"/>
      <c r="K21" s="95"/>
      <c r="L21" s="95"/>
    </row>
    <row r="22" spans="1:15" ht="15.75" thickBot="1" x14ac:dyDescent="0.3">
      <c r="B22" s="94"/>
      <c r="C22" s="99"/>
      <c r="D22" s="102"/>
      <c r="E22" s="105"/>
      <c r="F22" s="101"/>
      <c r="G22" s="94"/>
      <c r="H22" s="94"/>
      <c r="I22" s="98"/>
      <c r="J22" s="107"/>
      <c r="K22" s="95"/>
      <c r="L22" s="95"/>
    </row>
    <row r="23" spans="1:15" ht="15.75" thickBot="1" x14ac:dyDescent="0.3">
      <c r="B23" s="94"/>
      <c r="C23" s="98"/>
      <c r="D23" s="98"/>
      <c r="E23" s="88"/>
      <c r="F23" s="98"/>
      <c r="G23" s="98"/>
      <c r="H23" s="94"/>
      <c r="I23" s="103" t="s">
        <v>50</v>
      </c>
      <c r="J23" s="108"/>
      <c r="K23" s="95"/>
      <c r="L23" s="95"/>
    </row>
    <row r="24" spans="1:15" ht="15.75" thickBot="1" x14ac:dyDescent="0.3">
      <c r="B24" s="94"/>
      <c r="C24" s="98"/>
      <c r="D24" s="98"/>
      <c r="E24" s="88"/>
      <c r="F24" s="98"/>
      <c r="G24" s="98"/>
      <c r="H24" s="99"/>
      <c r="I24" s="102"/>
      <c r="J24" s="100"/>
      <c r="K24" s="101"/>
      <c r="L24" s="95"/>
    </row>
    <row r="25" spans="1:15" ht="15.75" thickBot="1" x14ac:dyDescent="0.3">
      <c r="B25" s="99"/>
      <c r="C25" s="102"/>
      <c r="D25" s="102"/>
      <c r="E25" s="105"/>
      <c r="F25" s="102"/>
      <c r="G25" s="102"/>
      <c r="H25" s="102"/>
      <c r="I25" s="102"/>
      <c r="J25" s="100"/>
      <c r="K25" s="102"/>
      <c r="L25" s="101"/>
    </row>
    <row r="26" spans="1:15" ht="15.75" thickBot="1" x14ac:dyDescent="0.3"/>
    <row r="27" spans="1:15" ht="15.75" thickBot="1" x14ac:dyDescent="0.3">
      <c r="I27" s="135" t="s">
        <v>55</v>
      </c>
      <c r="J27" s="134"/>
    </row>
    <row r="29" spans="1:15" s="140" customFormat="1" x14ac:dyDescent="0.25">
      <c r="B29" s="141" t="s">
        <v>9</v>
      </c>
      <c r="C29" s="141" t="s">
        <v>3</v>
      </c>
      <c r="D29" s="141" t="s">
        <v>47</v>
      </c>
      <c r="E29" s="141" t="s">
        <v>11</v>
      </c>
      <c r="F29" s="141" t="s">
        <v>12</v>
      </c>
      <c r="G29" s="141" t="s">
        <v>13</v>
      </c>
      <c r="H29" s="141" t="s">
        <v>14</v>
      </c>
      <c r="I29" s="141" t="s">
        <v>15</v>
      </c>
      <c r="J29" s="141" t="s">
        <v>16</v>
      </c>
      <c r="K29" s="141" t="s">
        <v>17</v>
      </c>
      <c r="L29" s="141" t="s">
        <v>18</v>
      </c>
      <c r="M29" s="141" t="s">
        <v>56</v>
      </c>
      <c r="N29" s="141" t="s">
        <v>62</v>
      </c>
      <c r="O29" s="153"/>
    </row>
    <row r="30" spans="1:15" x14ac:dyDescent="0.25">
      <c r="A30" s="85"/>
      <c r="B30" s="85"/>
      <c r="C30" s="85"/>
      <c r="D30" s="150"/>
      <c r="E30" s="85"/>
      <c r="F30" s="85"/>
      <c r="G30" s="151"/>
      <c r="H30" s="151"/>
      <c r="I30" s="85"/>
      <c r="J30" s="145"/>
      <c r="K30" s="152"/>
      <c r="L30" s="152"/>
      <c r="M30" s="145"/>
      <c r="N30" s="148"/>
    </row>
    <row r="31" spans="1:15" x14ac:dyDescent="0.25">
      <c r="A31" s="85"/>
      <c r="B31" s="85"/>
      <c r="C31" s="85"/>
      <c r="D31" s="150"/>
      <c r="E31" s="85"/>
      <c r="F31" s="85"/>
      <c r="G31" s="151"/>
      <c r="H31" s="151"/>
      <c r="I31" s="85"/>
      <c r="J31" s="145"/>
      <c r="K31" s="152"/>
      <c r="L31" s="152"/>
      <c r="M31" s="145"/>
      <c r="N31" s="148"/>
    </row>
    <row r="32" spans="1:15" x14ac:dyDescent="0.25">
      <c r="A32" s="85"/>
      <c r="B32" s="85"/>
      <c r="C32" s="85"/>
      <c r="D32" s="150"/>
      <c r="E32" s="85"/>
      <c r="F32" s="85"/>
      <c r="G32" s="151"/>
      <c r="H32" s="151"/>
      <c r="I32" s="85"/>
      <c r="J32" s="145"/>
      <c r="K32" s="152"/>
      <c r="L32" s="152"/>
      <c r="M32" s="145"/>
      <c r="N32" s="148"/>
    </row>
    <row r="33" spans="1:14" x14ac:dyDescent="0.25">
      <c r="A33" s="85"/>
      <c r="B33" s="85"/>
      <c r="C33" s="85"/>
      <c r="D33" s="150"/>
      <c r="E33" s="85"/>
      <c r="F33" s="85"/>
      <c r="G33" s="151"/>
      <c r="H33" s="151"/>
      <c r="I33" s="85"/>
      <c r="J33" s="145"/>
      <c r="K33" s="152"/>
      <c r="L33" s="152"/>
      <c r="M33" s="145"/>
      <c r="N33" s="148"/>
    </row>
    <row r="34" spans="1:14" x14ac:dyDescent="0.25">
      <c r="A34" s="85"/>
      <c r="B34" s="85"/>
      <c r="C34" s="85"/>
      <c r="D34" s="150"/>
      <c r="E34" s="85"/>
      <c r="F34" s="85"/>
      <c r="G34" s="151"/>
      <c r="H34" s="151"/>
      <c r="I34" s="85"/>
      <c r="J34" s="145"/>
      <c r="K34" s="152"/>
      <c r="L34" s="152"/>
      <c r="M34" s="145"/>
      <c r="N34" s="148"/>
    </row>
    <row r="35" spans="1:14" x14ac:dyDescent="0.25">
      <c r="A35" s="85"/>
      <c r="B35" s="85"/>
      <c r="C35" s="85"/>
      <c r="D35" s="150"/>
      <c r="E35" s="85"/>
      <c r="F35" s="85"/>
      <c r="G35" s="151"/>
      <c r="H35" s="151"/>
      <c r="I35" s="85"/>
      <c r="J35" s="145"/>
      <c r="K35" s="152"/>
      <c r="L35" s="152"/>
      <c r="M35" s="145"/>
      <c r="N35" s="148"/>
    </row>
    <row r="36" spans="1:14" x14ac:dyDescent="0.25">
      <c r="A36" s="85"/>
      <c r="B36" s="85"/>
      <c r="C36" s="85"/>
      <c r="D36" s="150"/>
      <c r="E36" s="85"/>
      <c r="F36" s="85"/>
      <c r="G36" s="151"/>
      <c r="H36" s="151"/>
      <c r="I36" s="85"/>
      <c r="J36" s="145"/>
      <c r="K36" s="152"/>
      <c r="L36" s="152"/>
      <c r="M36" s="145"/>
      <c r="N36" s="148"/>
    </row>
    <row r="37" spans="1:14" x14ac:dyDescent="0.25">
      <c r="A37" s="85"/>
      <c r="B37" s="85"/>
      <c r="C37" s="85"/>
      <c r="D37" s="150"/>
      <c r="E37" s="85"/>
      <c r="F37" s="85"/>
      <c r="G37" s="151"/>
      <c r="H37" s="151"/>
      <c r="I37" s="85"/>
      <c r="J37" s="145"/>
      <c r="K37" s="152"/>
      <c r="L37" s="152"/>
      <c r="M37" s="145"/>
      <c r="N37" s="148"/>
    </row>
    <row r="38" spans="1:14" x14ac:dyDescent="0.25">
      <c r="A38" s="85"/>
      <c r="B38" s="85"/>
      <c r="C38" s="85"/>
      <c r="D38" s="150"/>
      <c r="E38" s="85"/>
      <c r="F38" s="85"/>
      <c r="G38" s="151"/>
      <c r="H38" s="151"/>
      <c r="I38" s="85"/>
      <c r="J38" s="145"/>
      <c r="K38" s="152"/>
      <c r="L38" s="152"/>
      <c r="M38" s="145"/>
      <c r="N38" s="148"/>
    </row>
    <row r="39" spans="1:14" x14ac:dyDescent="0.25">
      <c r="A39" s="85"/>
      <c r="B39" s="85"/>
      <c r="C39" s="85"/>
      <c r="D39" s="150"/>
      <c r="E39" s="85"/>
      <c r="F39" s="85"/>
      <c r="G39" s="151"/>
      <c r="H39" s="151"/>
      <c r="I39" s="85"/>
      <c r="J39" s="145"/>
      <c r="K39" s="152"/>
      <c r="L39" s="152"/>
      <c r="M39" s="145"/>
      <c r="N39" s="148"/>
    </row>
    <row r="40" spans="1:14" x14ac:dyDescent="0.25">
      <c r="A40" s="85"/>
      <c r="B40" s="85"/>
      <c r="C40" s="85"/>
      <c r="D40" s="150"/>
      <c r="E40" s="85"/>
      <c r="F40" s="85"/>
      <c r="G40" s="85"/>
      <c r="H40" s="85"/>
      <c r="I40" s="85"/>
      <c r="J40" s="145"/>
      <c r="K40" s="152"/>
      <c r="L40" s="152"/>
      <c r="M40" s="145"/>
      <c r="N40" s="148"/>
    </row>
    <row r="41" spans="1:14" x14ac:dyDescent="0.25">
      <c r="A41" s="85"/>
      <c r="B41" s="85"/>
      <c r="C41" s="85"/>
      <c r="D41" s="150"/>
      <c r="E41" s="85"/>
      <c r="F41" s="85"/>
      <c r="G41" s="85"/>
      <c r="H41" s="85"/>
      <c r="I41" s="85"/>
      <c r="J41" s="145"/>
      <c r="K41" s="152"/>
      <c r="L41" s="152"/>
      <c r="M41" s="145"/>
      <c r="N41" s="148"/>
    </row>
    <row r="42" spans="1:14" x14ac:dyDescent="0.25">
      <c r="A42" s="85"/>
      <c r="B42" s="85"/>
      <c r="C42" s="85"/>
      <c r="D42" s="150"/>
      <c r="E42" s="85"/>
      <c r="F42" s="85"/>
      <c r="G42" s="85"/>
      <c r="H42" s="85"/>
      <c r="I42" s="85"/>
      <c r="J42" s="145"/>
      <c r="K42" s="152"/>
      <c r="L42" s="152"/>
      <c r="M42" s="145"/>
      <c r="N42" s="148"/>
    </row>
    <row r="43" spans="1:14" x14ac:dyDescent="0.25">
      <c r="A43" s="85"/>
      <c r="B43" s="85"/>
      <c r="C43" s="85"/>
      <c r="D43" s="150"/>
      <c r="E43" s="85"/>
      <c r="F43" s="85"/>
      <c r="G43" s="85"/>
      <c r="H43" s="85"/>
      <c r="I43" s="85"/>
      <c r="J43" s="145"/>
      <c r="K43" s="152"/>
      <c r="L43" s="152"/>
      <c r="M43" s="145"/>
      <c r="N43" s="148"/>
    </row>
    <row r="44" spans="1:14" x14ac:dyDescent="0.25">
      <c r="A44" s="85"/>
      <c r="B44" s="85"/>
      <c r="C44" s="85"/>
      <c r="D44" s="150"/>
      <c r="E44" s="85"/>
      <c r="F44" s="85"/>
      <c r="G44" s="85"/>
      <c r="H44" s="85"/>
      <c r="I44" s="85"/>
      <c r="J44" s="145"/>
      <c r="K44" s="152"/>
      <c r="L44" s="152"/>
      <c r="M44" s="145"/>
      <c r="N44" s="148"/>
    </row>
    <row r="45" spans="1:14" x14ac:dyDescent="0.25">
      <c r="A45" s="85"/>
      <c r="B45" s="85"/>
      <c r="C45" s="85"/>
      <c r="D45" s="150"/>
      <c r="E45" s="85"/>
      <c r="F45" s="85"/>
      <c r="G45" s="85"/>
      <c r="H45" s="85"/>
      <c r="I45" s="85"/>
      <c r="J45" s="145"/>
      <c r="K45" s="152"/>
      <c r="L45" s="152"/>
      <c r="M45" s="145"/>
      <c r="N45" s="148"/>
    </row>
    <row r="46" spans="1:14" x14ac:dyDescent="0.25">
      <c r="A46" s="85"/>
      <c r="B46" s="85"/>
      <c r="C46" s="85"/>
      <c r="D46" s="150"/>
      <c r="E46" s="85"/>
      <c r="F46" s="85"/>
      <c r="G46" s="85"/>
      <c r="H46" s="85"/>
      <c r="I46" s="85"/>
      <c r="J46" s="145"/>
      <c r="K46" s="152"/>
      <c r="L46" s="152"/>
      <c r="M46" s="145"/>
      <c r="N46" s="148"/>
    </row>
    <row r="47" spans="1:14" x14ac:dyDescent="0.25">
      <c r="A47" s="85"/>
      <c r="B47" s="85"/>
      <c r="C47" s="85"/>
      <c r="D47" s="150"/>
      <c r="E47" s="85"/>
      <c r="F47" s="85"/>
      <c r="G47" s="85"/>
      <c r="H47" s="85"/>
      <c r="I47" s="85"/>
      <c r="J47" s="145"/>
      <c r="K47" s="152"/>
      <c r="L47" s="152"/>
      <c r="M47" s="145"/>
      <c r="N47" s="148"/>
    </row>
    <row r="48" spans="1:14" x14ac:dyDescent="0.25">
      <c r="A48" s="85"/>
      <c r="B48" s="85"/>
      <c r="C48" s="85"/>
      <c r="D48" s="150"/>
      <c r="E48" s="85"/>
      <c r="F48" s="85"/>
      <c r="G48" s="85"/>
      <c r="H48" s="85"/>
      <c r="I48" s="85"/>
      <c r="J48" s="145"/>
      <c r="K48" s="152"/>
      <c r="L48" s="152"/>
      <c r="M48" s="145"/>
      <c r="N48" s="148"/>
    </row>
    <row r="49" spans="1:14" x14ac:dyDescent="0.25">
      <c r="A49" s="85"/>
      <c r="B49" s="85"/>
      <c r="C49" s="85"/>
      <c r="D49" s="150"/>
      <c r="E49" s="85"/>
      <c r="F49" s="85"/>
      <c r="G49" s="85"/>
      <c r="H49" s="85"/>
      <c r="I49" s="85"/>
      <c r="J49" s="145"/>
      <c r="K49" s="152"/>
      <c r="L49" s="152"/>
      <c r="M49" s="145"/>
      <c r="N49" s="148"/>
    </row>
    <row r="50" spans="1:14" x14ac:dyDescent="0.25">
      <c r="A50" s="85"/>
      <c r="B50" s="85"/>
      <c r="C50" s="85"/>
      <c r="D50" s="150"/>
      <c r="E50" s="85"/>
      <c r="F50" s="85"/>
      <c r="G50" s="85"/>
      <c r="H50" s="85"/>
      <c r="I50" s="85"/>
      <c r="J50" s="145"/>
      <c r="K50" s="152"/>
      <c r="L50" s="152"/>
      <c r="M50" s="145"/>
      <c r="N50" s="148"/>
    </row>
    <row r="51" spans="1:14" x14ac:dyDescent="0.25">
      <c r="A51" s="85"/>
      <c r="B51" s="85"/>
      <c r="C51" s="85"/>
      <c r="D51" s="150"/>
      <c r="E51" s="85"/>
      <c r="F51" s="85"/>
      <c r="G51" s="85"/>
      <c r="H51" s="85"/>
      <c r="I51" s="85"/>
      <c r="J51" s="145"/>
      <c r="K51" s="152"/>
      <c r="L51" s="152"/>
      <c r="M51" s="145"/>
      <c r="N51" s="148"/>
    </row>
    <row r="52" spans="1:14" x14ac:dyDescent="0.25">
      <c r="A52" s="85"/>
      <c r="B52" s="85"/>
      <c r="C52" s="85"/>
      <c r="D52" s="150"/>
      <c r="E52" s="85"/>
      <c r="F52" s="85"/>
      <c r="G52" s="85"/>
      <c r="H52" s="85"/>
      <c r="I52" s="85"/>
      <c r="J52" s="145"/>
      <c r="K52" s="152"/>
      <c r="L52" s="152"/>
      <c r="M52" s="145"/>
      <c r="N52" s="148"/>
    </row>
    <row r="53" spans="1:14" x14ac:dyDescent="0.25">
      <c r="A53" s="85"/>
      <c r="B53" s="85"/>
      <c r="C53" s="85"/>
      <c r="D53" s="150"/>
      <c r="E53" s="85"/>
      <c r="F53" s="85"/>
      <c r="G53" s="85"/>
      <c r="H53" s="85"/>
      <c r="I53" s="85"/>
      <c r="J53" s="145"/>
      <c r="K53" s="152"/>
      <c r="L53" s="152"/>
      <c r="M53" s="145"/>
      <c r="N53" s="148"/>
    </row>
    <row r="54" spans="1:14" x14ac:dyDescent="0.25">
      <c r="A54" s="85"/>
      <c r="B54" s="85"/>
      <c r="C54" s="85"/>
      <c r="D54" s="150"/>
      <c r="E54" s="85"/>
      <c r="F54" s="85"/>
      <c r="G54" s="85"/>
      <c r="H54" s="85"/>
      <c r="I54" s="85"/>
      <c r="J54" s="145"/>
      <c r="K54" s="152"/>
      <c r="L54" s="152"/>
      <c r="M54" s="145"/>
      <c r="N54" s="148"/>
    </row>
    <row r="55" spans="1:14" x14ac:dyDescent="0.25">
      <c r="A55" s="85"/>
      <c r="B55" s="85"/>
      <c r="C55" s="85"/>
      <c r="D55" s="150"/>
      <c r="E55" s="85"/>
      <c r="F55" s="85"/>
      <c r="G55" s="85"/>
      <c r="H55" s="85"/>
      <c r="I55" s="85"/>
      <c r="J55" s="145"/>
      <c r="K55" s="152"/>
      <c r="L55" s="152"/>
      <c r="M55" s="145"/>
      <c r="N55" s="148"/>
    </row>
    <row r="56" spans="1:14" x14ac:dyDescent="0.25">
      <c r="A56" s="85"/>
      <c r="B56" s="85"/>
      <c r="C56" s="85"/>
      <c r="D56" s="150"/>
      <c r="E56" s="85"/>
      <c r="F56" s="85"/>
      <c r="G56" s="85"/>
      <c r="H56" s="85"/>
      <c r="I56" s="85"/>
      <c r="J56" s="145"/>
      <c r="K56" s="152"/>
      <c r="L56" s="152"/>
      <c r="M56" s="145"/>
      <c r="N56" s="148"/>
    </row>
    <row r="57" spans="1:14" x14ac:dyDescent="0.25">
      <c r="A57" s="85"/>
      <c r="B57" s="85"/>
      <c r="C57" s="85"/>
      <c r="D57" s="150"/>
      <c r="E57" s="85"/>
      <c r="F57" s="85"/>
      <c r="G57" s="85"/>
      <c r="H57" s="85"/>
      <c r="I57" s="85"/>
      <c r="J57" s="145"/>
      <c r="K57" s="152"/>
      <c r="L57" s="152"/>
      <c r="M57" s="145"/>
      <c r="N57" s="148"/>
    </row>
    <row r="58" spans="1:14" x14ac:dyDescent="0.25">
      <c r="A58" s="85"/>
      <c r="B58" s="85"/>
      <c r="C58" s="85"/>
      <c r="D58" s="150"/>
      <c r="E58" s="85"/>
      <c r="F58" s="85"/>
      <c r="G58" s="85"/>
      <c r="H58" s="85"/>
      <c r="I58" s="85"/>
      <c r="J58" s="145"/>
      <c r="K58" s="152"/>
      <c r="L58" s="152"/>
      <c r="M58" s="145"/>
      <c r="N58" s="148"/>
    </row>
    <row r="59" spans="1:14" x14ac:dyDescent="0.25">
      <c r="A59" s="85"/>
      <c r="B59" s="85"/>
      <c r="C59" s="85"/>
      <c r="D59" s="150"/>
      <c r="E59" s="85"/>
      <c r="F59" s="85"/>
      <c r="G59" s="85"/>
      <c r="H59" s="85"/>
      <c r="I59" s="85"/>
      <c r="J59" s="145"/>
      <c r="K59" s="152"/>
      <c r="L59" s="152"/>
      <c r="M59" s="145"/>
      <c r="N59" s="148"/>
    </row>
    <row r="60" spans="1:14" x14ac:dyDescent="0.25">
      <c r="A60" s="85"/>
      <c r="B60" s="85"/>
      <c r="C60" s="85"/>
      <c r="D60" s="150"/>
      <c r="E60" s="85"/>
      <c r="F60" s="85"/>
      <c r="G60" s="85"/>
      <c r="H60" s="85"/>
      <c r="I60" s="85"/>
      <c r="J60" s="145"/>
      <c r="K60" s="152"/>
      <c r="L60" s="152"/>
      <c r="M60" s="145"/>
      <c r="N60" s="148"/>
    </row>
    <row r="61" spans="1:14" x14ac:dyDescent="0.25">
      <c r="A61" s="85"/>
      <c r="B61" s="85"/>
      <c r="C61" s="85"/>
      <c r="D61" s="150"/>
      <c r="E61" s="85"/>
      <c r="F61" s="85"/>
      <c r="G61" s="85"/>
      <c r="H61" s="85"/>
      <c r="I61" s="85"/>
      <c r="J61" s="145"/>
      <c r="K61" s="152"/>
      <c r="L61" s="152"/>
      <c r="M61" s="145"/>
      <c r="N61" s="148"/>
    </row>
    <row r="62" spans="1:14" x14ac:dyDescent="0.25">
      <c r="A62" s="85"/>
      <c r="B62" s="85"/>
      <c r="C62" s="85"/>
      <c r="D62" s="150"/>
      <c r="E62" s="85"/>
      <c r="F62" s="85"/>
      <c r="G62" s="85"/>
      <c r="H62" s="85"/>
      <c r="I62" s="85"/>
      <c r="J62" s="145"/>
      <c r="K62" s="152"/>
      <c r="L62" s="152"/>
      <c r="M62" s="145"/>
      <c r="N62" s="148"/>
    </row>
    <row r="63" spans="1:14" x14ac:dyDescent="0.25">
      <c r="A63" s="85"/>
      <c r="B63" s="85"/>
      <c r="C63" s="85"/>
      <c r="D63" s="150"/>
      <c r="E63" s="85"/>
      <c r="F63" s="85"/>
      <c r="G63" s="85"/>
      <c r="H63" s="85"/>
      <c r="I63" s="85"/>
      <c r="J63" s="145"/>
      <c r="K63" s="152"/>
      <c r="L63" s="152"/>
      <c r="M63" s="145"/>
      <c r="N63" s="148"/>
    </row>
    <row r="64" spans="1:14" x14ac:dyDescent="0.25">
      <c r="A64" s="85"/>
      <c r="B64" s="85"/>
      <c r="C64" s="85"/>
      <c r="D64" s="150"/>
      <c r="E64" s="85"/>
      <c r="F64" s="85"/>
      <c r="G64" s="85"/>
      <c r="H64" s="85"/>
      <c r="I64" s="85"/>
      <c r="J64" s="145"/>
      <c r="K64" s="152"/>
      <c r="L64" s="152"/>
      <c r="M64" s="145"/>
      <c r="N64" s="148"/>
    </row>
    <row r="65" spans="1:14" x14ac:dyDescent="0.25">
      <c r="A65" s="85"/>
      <c r="B65" s="85"/>
      <c r="C65" s="85"/>
      <c r="D65" s="150"/>
      <c r="E65" s="85"/>
      <c r="F65" s="85"/>
      <c r="G65" s="85"/>
      <c r="H65" s="85"/>
      <c r="I65" s="85"/>
      <c r="J65" s="145"/>
      <c r="K65" s="152"/>
      <c r="L65" s="152"/>
      <c r="M65" s="145"/>
      <c r="N65" s="148"/>
    </row>
    <row r="66" spans="1:14" x14ac:dyDescent="0.25">
      <c r="A66" s="85"/>
      <c r="B66" s="85"/>
      <c r="C66" s="85"/>
      <c r="D66" s="150"/>
      <c r="E66" s="85"/>
      <c r="F66" s="85"/>
      <c r="G66" s="85"/>
      <c r="H66" s="85"/>
      <c r="I66" s="85"/>
      <c r="J66" s="145"/>
      <c r="K66" s="152"/>
      <c r="L66" s="152"/>
      <c r="M66" s="145"/>
      <c r="N66" s="148"/>
    </row>
    <row r="67" spans="1:14" x14ac:dyDescent="0.25">
      <c r="A67" s="85"/>
      <c r="B67" s="85"/>
      <c r="C67" s="85"/>
      <c r="D67" s="150"/>
      <c r="E67" s="85"/>
      <c r="F67" s="85"/>
      <c r="G67" s="85"/>
      <c r="H67" s="85"/>
      <c r="I67" s="85"/>
      <c r="J67" s="145"/>
      <c r="K67" s="152"/>
      <c r="L67" s="152"/>
      <c r="M67" s="145"/>
      <c r="N67" s="148"/>
    </row>
    <row r="68" spans="1:14" x14ac:dyDescent="0.25">
      <c r="A68" s="85"/>
      <c r="B68" s="85"/>
      <c r="C68" s="85"/>
      <c r="D68" s="150"/>
      <c r="E68" s="85"/>
      <c r="F68" s="85"/>
      <c r="G68" s="85"/>
      <c r="H68" s="85"/>
      <c r="I68" s="85"/>
      <c r="J68" s="145"/>
      <c r="K68" s="152"/>
      <c r="L68" s="152"/>
      <c r="M68" s="145"/>
      <c r="N68" s="148"/>
    </row>
    <row r="69" spans="1:14" x14ac:dyDescent="0.25">
      <c r="A69" s="85"/>
      <c r="B69" s="85"/>
      <c r="C69" s="85"/>
      <c r="D69" s="150"/>
      <c r="E69" s="85"/>
      <c r="F69" s="85"/>
      <c r="G69" s="85"/>
      <c r="H69" s="85"/>
      <c r="I69" s="85"/>
      <c r="J69" s="145"/>
      <c r="K69" s="152"/>
      <c r="L69" s="152"/>
      <c r="M69" s="145"/>
      <c r="N69" s="148"/>
    </row>
    <row r="70" spans="1:14" x14ac:dyDescent="0.25">
      <c r="A70" s="85"/>
      <c r="B70" s="85"/>
      <c r="C70" s="85"/>
      <c r="D70" s="150"/>
      <c r="E70" s="85"/>
      <c r="F70" s="85"/>
      <c r="G70" s="85"/>
      <c r="H70" s="85"/>
      <c r="I70" s="85"/>
      <c r="J70" s="145"/>
      <c r="K70" s="152"/>
      <c r="L70" s="152"/>
      <c r="M70" s="145"/>
      <c r="N70" s="148"/>
    </row>
    <row r="71" spans="1:14" x14ac:dyDescent="0.25">
      <c r="A71" s="85"/>
      <c r="B71" s="85"/>
      <c r="C71" s="85"/>
      <c r="D71" s="150"/>
      <c r="E71" s="85"/>
      <c r="F71" s="85"/>
      <c r="G71" s="85"/>
      <c r="H71" s="85"/>
      <c r="I71" s="85"/>
      <c r="J71" s="145"/>
      <c r="K71" s="152"/>
      <c r="L71" s="152"/>
      <c r="M71" s="145"/>
      <c r="N71" s="148"/>
    </row>
    <row r="72" spans="1:14" x14ac:dyDescent="0.25">
      <c r="A72" s="85"/>
      <c r="B72" s="85"/>
      <c r="C72" s="85"/>
      <c r="D72" s="150"/>
      <c r="E72" s="85"/>
      <c r="F72" s="85"/>
      <c r="G72" s="85"/>
      <c r="H72" s="85"/>
      <c r="I72" s="85"/>
      <c r="J72" s="145"/>
      <c r="K72" s="152"/>
      <c r="L72" s="152"/>
      <c r="M72" s="145"/>
      <c r="N72" s="148"/>
    </row>
    <row r="73" spans="1:14" x14ac:dyDescent="0.25">
      <c r="A73" s="85"/>
      <c r="B73" s="85"/>
      <c r="C73" s="85"/>
      <c r="D73" s="150"/>
      <c r="E73" s="85"/>
      <c r="F73" s="85"/>
      <c r="G73" s="85"/>
      <c r="H73" s="85"/>
      <c r="I73" s="85"/>
      <c r="J73" s="145"/>
      <c r="K73" s="152"/>
      <c r="L73" s="152"/>
      <c r="M73" s="145"/>
      <c r="N73" s="148"/>
    </row>
    <row r="74" spans="1:14" x14ac:dyDescent="0.25">
      <c r="A74" s="85"/>
      <c r="B74" s="85"/>
      <c r="C74" s="85"/>
      <c r="D74" s="150"/>
      <c r="E74" s="85"/>
      <c r="F74" s="85"/>
      <c r="G74" s="85"/>
      <c r="H74" s="85"/>
      <c r="I74" s="85"/>
      <c r="J74" s="145"/>
      <c r="K74" s="152"/>
      <c r="L74" s="152"/>
      <c r="M74" s="145"/>
      <c r="N74" s="148"/>
    </row>
    <row r="75" spans="1:14" x14ac:dyDescent="0.25">
      <c r="A75" s="85"/>
      <c r="B75" s="85"/>
      <c r="C75" s="85"/>
      <c r="D75" s="150"/>
      <c r="E75" s="85"/>
      <c r="F75" s="85"/>
      <c r="G75" s="85"/>
      <c r="H75" s="85"/>
      <c r="I75" s="85"/>
      <c r="J75" s="145"/>
      <c r="K75" s="152"/>
      <c r="L75" s="152"/>
      <c r="M75" s="145"/>
      <c r="N75" s="148"/>
    </row>
    <row r="76" spans="1:14" x14ac:dyDescent="0.25">
      <c r="A76" s="85"/>
      <c r="B76" s="85"/>
      <c r="C76" s="85"/>
      <c r="D76" s="150"/>
      <c r="E76" s="85"/>
      <c r="F76" s="85"/>
      <c r="G76" s="85"/>
      <c r="H76" s="85"/>
      <c r="I76" s="85"/>
      <c r="J76" s="145"/>
      <c r="K76" s="152"/>
      <c r="L76" s="152"/>
      <c r="M76" s="145"/>
      <c r="N76" s="148"/>
    </row>
    <row r="77" spans="1:14" x14ac:dyDescent="0.25">
      <c r="A77" s="85"/>
      <c r="B77" s="85"/>
      <c r="C77" s="85"/>
      <c r="D77" s="150"/>
      <c r="E77" s="85"/>
      <c r="F77" s="85"/>
      <c r="G77" s="85"/>
      <c r="H77" s="85"/>
      <c r="I77" s="85"/>
      <c r="J77" s="145"/>
      <c r="K77" s="152"/>
      <c r="L77" s="152"/>
      <c r="M77" s="145"/>
      <c r="N77" s="148"/>
    </row>
    <row r="78" spans="1:14" x14ac:dyDescent="0.25">
      <c r="A78" s="85"/>
      <c r="B78" s="85"/>
      <c r="C78" s="85"/>
      <c r="D78" s="150"/>
      <c r="E78" s="85"/>
      <c r="F78" s="85"/>
      <c r="G78" s="85"/>
      <c r="H78" s="85"/>
      <c r="I78" s="85"/>
      <c r="J78" s="145"/>
      <c r="K78" s="152"/>
      <c r="L78" s="152"/>
      <c r="M78" s="145"/>
      <c r="N78" s="148"/>
    </row>
    <row r="79" spans="1:14" x14ac:dyDescent="0.25">
      <c r="A79" s="85"/>
      <c r="B79" s="85"/>
      <c r="C79" s="85"/>
      <c r="D79" s="150"/>
      <c r="E79" s="85"/>
      <c r="F79" s="85"/>
      <c r="G79" s="85"/>
      <c r="H79" s="85"/>
      <c r="I79" s="85"/>
      <c r="J79" s="145"/>
      <c r="K79" s="152"/>
      <c r="L79" s="152"/>
      <c r="M79" s="145"/>
      <c r="N79" s="148"/>
    </row>
    <row r="80" spans="1:14" x14ac:dyDescent="0.25">
      <c r="A80" s="85"/>
      <c r="B80" s="85"/>
      <c r="C80" s="85"/>
      <c r="D80" s="150"/>
      <c r="E80" s="85"/>
      <c r="F80" s="85"/>
      <c r="G80" s="85"/>
      <c r="H80" s="85"/>
      <c r="I80" s="85"/>
      <c r="J80" s="145"/>
      <c r="K80" s="152"/>
      <c r="L80" s="152"/>
      <c r="M80" s="145"/>
      <c r="N80" s="148"/>
    </row>
    <row r="81" spans="1:14" x14ac:dyDescent="0.25">
      <c r="A81" s="85"/>
      <c r="B81" s="85"/>
      <c r="C81" s="85"/>
      <c r="D81" s="150"/>
      <c r="E81" s="85"/>
      <c r="F81" s="85"/>
      <c r="G81" s="85"/>
      <c r="H81" s="85"/>
      <c r="I81" s="85"/>
      <c r="J81" s="145"/>
      <c r="K81" s="152"/>
      <c r="L81" s="152"/>
      <c r="M81" s="145"/>
      <c r="N81" s="148"/>
    </row>
    <row r="82" spans="1:14" x14ac:dyDescent="0.25">
      <c r="A82" s="85"/>
      <c r="B82" s="85"/>
      <c r="C82" s="85"/>
      <c r="D82" s="150"/>
      <c r="E82" s="85"/>
      <c r="F82" s="85"/>
      <c r="G82" s="85"/>
      <c r="H82" s="85"/>
      <c r="I82" s="85"/>
      <c r="J82" s="145"/>
      <c r="K82" s="152"/>
      <c r="L82" s="152"/>
      <c r="M82" s="145"/>
      <c r="N82" s="148"/>
    </row>
    <row r="83" spans="1:14" x14ac:dyDescent="0.25">
      <c r="A83" s="85"/>
      <c r="B83" s="85"/>
      <c r="C83" s="85"/>
      <c r="D83" s="150"/>
      <c r="E83" s="85"/>
      <c r="F83" s="85"/>
      <c r="G83" s="85"/>
      <c r="H83" s="85"/>
      <c r="I83" s="85"/>
      <c r="J83" s="145"/>
      <c r="K83" s="152"/>
      <c r="L83" s="152"/>
      <c r="M83" s="145"/>
      <c r="N83" s="148"/>
    </row>
    <row r="84" spans="1:14" x14ac:dyDescent="0.25">
      <c r="A84" s="85"/>
      <c r="B84" s="85"/>
      <c r="C84" s="85"/>
      <c r="D84" s="150"/>
      <c r="E84" s="85"/>
      <c r="F84" s="85"/>
      <c r="G84" s="85"/>
      <c r="H84" s="85"/>
      <c r="I84" s="85"/>
      <c r="J84" s="145"/>
      <c r="K84" s="152"/>
      <c r="L84" s="152"/>
      <c r="M84" s="145"/>
      <c r="N84" s="148"/>
    </row>
    <row r="85" spans="1:14" x14ac:dyDescent="0.25">
      <c r="A85" s="85"/>
      <c r="B85" s="85"/>
      <c r="C85" s="85"/>
      <c r="D85" s="150"/>
      <c r="E85" s="85"/>
      <c r="F85" s="85"/>
      <c r="G85" s="85"/>
      <c r="H85" s="85"/>
      <c r="I85" s="85"/>
      <c r="J85" s="145"/>
      <c r="K85" s="152"/>
      <c r="L85" s="152"/>
      <c r="M85" s="145"/>
      <c r="N85" s="148"/>
    </row>
    <row r="86" spans="1:14" x14ac:dyDescent="0.25">
      <c r="A86" s="85"/>
      <c r="B86" s="85"/>
      <c r="C86" s="85"/>
      <c r="D86" s="150"/>
      <c r="E86" s="85"/>
      <c r="F86" s="85"/>
      <c r="G86" s="85"/>
      <c r="H86" s="85"/>
      <c r="I86" s="85"/>
      <c r="J86" s="145"/>
      <c r="K86" s="152"/>
      <c r="L86" s="152"/>
      <c r="M86" s="145"/>
      <c r="N86" s="148"/>
    </row>
    <row r="87" spans="1:14" x14ac:dyDescent="0.25">
      <c r="A87" s="85"/>
      <c r="B87" s="85"/>
      <c r="C87" s="85"/>
      <c r="D87" s="150"/>
      <c r="E87" s="85"/>
      <c r="F87" s="85"/>
      <c r="G87" s="85"/>
      <c r="H87" s="85"/>
      <c r="I87" s="85"/>
      <c r="J87" s="145"/>
      <c r="K87" s="152"/>
      <c r="L87" s="152"/>
      <c r="M87" s="145"/>
      <c r="N87" s="148"/>
    </row>
    <row r="88" spans="1:14" x14ac:dyDescent="0.25">
      <c r="A88" s="85"/>
      <c r="B88" s="85"/>
      <c r="C88" s="85"/>
      <c r="D88" s="150"/>
      <c r="E88" s="85"/>
      <c r="F88" s="85"/>
      <c r="G88" s="85"/>
      <c r="H88" s="85"/>
      <c r="I88" s="85"/>
      <c r="J88" s="145"/>
      <c r="K88" s="152"/>
      <c r="L88" s="152"/>
      <c r="M88" s="145"/>
      <c r="N88" s="148"/>
    </row>
    <row r="89" spans="1:14" x14ac:dyDescent="0.25">
      <c r="A89" s="85"/>
      <c r="B89" s="85"/>
      <c r="C89" s="85"/>
      <c r="D89" s="150"/>
      <c r="E89" s="85"/>
      <c r="F89" s="85"/>
      <c r="G89" s="85"/>
      <c r="H89" s="85"/>
      <c r="I89" s="85"/>
      <c r="J89" s="145"/>
      <c r="K89" s="152"/>
      <c r="L89" s="152"/>
      <c r="M89" s="145"/>
      <c r="N89" s="148"/>
    </row>
    <row r="90" spans="1:14" x14ac:dyDescent="0.25">
      <c r="A90" s="85"/>
      <c r="B90" s="85"/>
      <c r="C90" s="85"/>
      <c r="D90" s="150"/>
      <c r="E90" s="85"/>
      <c r="F90" s="85"/>
      <c r="G90" s="85"/>
      <c r="H90" s="85"/>
      <c r="I90" s="85"/>
      <c r="J90" s="145"/>
      <c r="K90" s="152"/>
      <c r="L90" s="152"/>
      <c r="M90" s="145"/>
      <c r="N90" s="148"/>
    </row>
    <row r="91" spans="1:14" x14ac:dyDescent="0.25">
      <c r="A91" s="85"/>
      <c r="B91" s="85"/>
      <c r="C91" s="85"/>
      <c r="D91" s="150"/>
      <c r="E91" s="85"/>
      <c r="F91" s="85"/>
      <c r="G91" s="85"/>
      <c r="H91" s="85"/>
      <c r="I91" s="85"/>
      <c r="J91" s="145"/>
      <c r="K91" s="152"/>
      <c r="L91" s="152"/>
      <c r="M91" s="145"/>
      <c r="N91" s="148"/>
    </row>
    <row r="92" spans="1:14" x14ac:dyDescent="0.25">
      <c r="A92" s="85"/>
      <c r="B92" s="85"/>
      <c r="C92" s="85"/>
      <c r="D92" s="150"/>
      <c r="E92" s="85"/>
      <c r="F92" s="85"/>
      <c r="G92" s="85"/>
      <c r="H92" s="85"/>
      <c r="I92" s="85"/>
      <c r="J92" s="145"/>
      <c r="K92" s="152"/>
      <c r="L92" s="152"/>
      <c r="M92" s="145"/>
      <c r="N92" s="148"/>
    </row>
    <row r="93" spans="1:14" x14ac:dyDescent="0.25">
      <c r="A93" s="85"/>
      <c r="B93" s="85"/>
      <c r="C93" s="85"/>
      <c r="D93" s="150"/>
      <c r="E93" s="85"/>
      <c r="F93" s="85"/>
      <c r="G93" s="85"/>
      <c r="H93" s="85"/>
      <c r="I93" s="85"/>
      <c r="J93" s="145"/>
      <c r="K93" s="152"/>
      <c r="L93" s="152"/>
      <c r="M93" s="145"/>
      <c r="N93" s="148"/>
    </row>
    <row r="94" spans="1:14" x14ac:dyDescent="0.25">
      <c r="A94" s="85"/>
      <c r="B94" s="85"/>
      <c r="C94" s="85"/>
      <c r="D94" s="150"/>
      <c r="E94" s="85"/>
      <c r="F94" s="85"/>
      <c r="G94" s="85"/>
      <c r="H94" s="85"/>
      <c r="I94" s="85"/>
      <c r="J94" s="145"/>
      <c r="K94" s="152"/>
      <c r="L94" s="152"/>
      <c r="M94" s="145"/>
      <c r="N94" s="148"/>
    </row>
    <row r="95" spans="1:14" x14ac:dyDescent="0.25">
      <c r="A95" s="85"/>
      <c r="B95" s="85"/>
      <c r="C95" s="85"/>
      <c r="D95" s="150"/>
      <c r="E95" s="85"/>
      <c r="F95" s="85"/>
      <c r="G95" s="85"/>
      <c r="H95" s="85"/>
      <c r="I95" s="85"/>
      <c r="J95" s="145"/>
      <c r="K95" s="152"/>
      <c r="L95" s="152"/>
      <c r="M95" s="145"/>
      <c r="N95" s="148"/>
    </row>
    <row r="96" spans="1:14" x14ac:dyDescent="0.25">
      <c r="A96" s="85"/>
      <c r="B96" s="85"/>
      <c r="C96" s="85"/>
      <c r="D96" s="150"/>
      <c r="E96" s="85"/>
      <c r="F96" s="85"/>
      <c r="G96" s="85"/>
      <c r="H96" s="85"/>
      <c r="I96" s="85"/>
      <c r="J96" s="145"/>
      <c r="K96" s="152"/>
      <c r="L96" s="152"/>
      <c r="M96" s="145"/>
      <c r="N96" s="148"/>
    </row>
    <row r="97" spans="1:14" x14ac:dyDescent="0.25">
      <c r="A97" s="85"/>
      <c r="B97" s="85"/>
      <c r="C97" s="85"/>
      <c r="D97" s="150"/>
      <c r="E97" s="85"/>
      <c r="F97" s="85"/>
      <c r="G97" s="85"/>
      <c r="H97" s="85"/>
      <c r="I97" s="85"/>
      <c r="J97" s="145"/>
      <c r="K97" s="152"/>
      <c r="L97" s="152"/>
      <c r="M97" s="145"/>
      <c r="N97" s="148"/>
    </row>
    <row r="98" spans="1:14" x14ac:dyDescent="0.25">
      <c r="A98" s="85"/>
      <c r="B98" s="85"/>
      <c r="C98" s="85"/>
      <c r="D98" s="150"/>
      <c r="E98" s="85"/>
      <c r="F98" s="85"/>
      <c r="G98" s="85"/>
      <c r="H98" s="85"/>
      <c r="I98" s="85"/>
      <c r="J98" s="145"/>
      <c r="K98" s="152"/>
      <c r="L98" s="152"/>
      <c r="M98" s="145"/>
      <c r="N98" s="148"/>
    </row>
    <row r="99" spans="1:14" x14ac:dyDescent="0.25">
      <c r="A99" s="85"/>
      <c r="B99" s="85"/>
      <c r="C99" s="85"/>
      <c r="D99" s="150"/>
      <c r="E99" s="85"/>
      <c r="F99" s="85"/>
      <c r="G99" s="85"/>
      <c r="H99" s="85"/>
      <c r="I99" s="85"/>
      <c r="J99" s="145"/>
      <c r="K99" s="152"/>
      <c r="L99" s="152"/>
      <c r="M99" s="145"/>
      <c r="N99" s="148"/>
    </row>
    <row r="100" spans="1:14" x14ac:dyDescent="0.25">
      <c r="A100" s="85"/>
      <c r="B100" s="85"/>
      <c r="C100" s="85"/>
      <c r="D100" s="150"/>
      <c r="E100" s="85"/>
      <c r="F100" s="85"/>
      <c r="G100" s="85"/>
      <c r="H100" s="85"/>
      <c r="I100" s="85"/>
      <c r="J100" s="145"/>
      <c r="K100" s="152"/>
      <c r="L100" s="152"/>
      <c r="M100" s="145"/>
      <c r="N100" s="148"/>
    </row>
    <row r="101" spans="1:14" x14ac:dyDescent="0.25">
      <c r="A101" s="85"/>
      <c r="B101" s="85"/>
      <c r="C101" s="85"/>
      <c r="D101" s="150"/>
      <c r="E101" s="85"/>
      <c r="F101" s="85"/>
      <c r="G101" s="85"/>
      <c r="H101" s="85"/>
      <c r="I101" s="85"/>
      <c r="J101" s="145"/>
      <c r="K101" s="152"/>
      <c r="L101" s="152"/>
      <c r="M101" s="145"/>
      <c r="N101" s="148"/>
    </row>
    <row r="102" spans="1:14" x14ac:dyDescent="0.25">
      <c r="A102" s="85"/>
      <c r="B102" s="85"/>
      <c r="C102" s="85"/>
      <c r="D102" s="150"/>
      <c r="E102" s="85"/>
      <c r="F102" s="85"/>
      <c r="G102" s="85"/>
      <c r="H102" s="85"/>
      <c r="I102" s="85"/>
      <c r="J102" s="145"/>
      <c r="K102" s="152"/>
      <c r="L102" s="152"/>
      <c r="M102" s="145"/>
      <c r="N102" s="148"/>
    </row>
    <row r="103" spans="1:14" x14ac:dyDescent="0.25">
      <c r="A103" s="85"/>
      <c r="B103" s="85"/>
      <c r="C103" s="85"/>
      <c r="D103" s="150"/>
      <c r="E103" s="85"/>
      <c r="F103" s="85"/>
      <c r="G103" s="85"/>
      <c r="H103" s="85"/>
      <c r="I103" s="85"/>
      <c r="J103" s="145"/>
      <c r="K103" s="152"/>
      <c r="L103" s="152"/>
      <c r="M103" s="145"/>
      <c r="N103" s="148"/>
    </row>
    <row r="104" spans="1:14" x14ac:dyDescent="0.25">
      <c r="A104" s="85"/>
      <c r="B104" s="85"/>
      <c r="C104" s="85"/>
      <c r="D104" s="150"/>
      <c r="E104" s="85"/>
      <c r="F104" s="85"/>
      <c r="G104" s="85"/>
      <c r="H104" s="85"/>
      <c r="I104" s="85"/>
      <c r="J104" s="145"/>
      <c r="K104" s="152"/>
      <c r="L104" s="152"/>
      <c r="M104" s="145"/>
      <c r="N104" s="148"/>
    </row>
    <row r="105" spans="1:14" x14ac:dyDescent="0.25">
      <c r="A105" s="85"/>
      <c r="B105" s="85"/>
      <c r="C105" s="85"/>
      <c r="D105" s="150"/>
      <c r="E105" s="85"/>
      <c r="F105" s="85"/>
      <c r="G105" s="85"/>
      <c r="H105" s="85"/>
      <c r="I105" s="85"/>
      <c r="J105" s="145"/>
      <c r="K105" s="152"/>
      <c r="L105" s="152"/>
      <c r="M105" s="145"/>
      <c r="N105" s="148"/>
    </row>
    <row r="106" spans="1:14" x14ac:dyDescent="0.25">
      <c r="A106" s="85"/>
      <c r="B106" s="85"/>
      <c r="C106" s="85"/>
      <c r="D106" s="150"/>
      <c r="E106" s="85"/>
      <c r="F106" s="85"/>
      <c r="G106" s="85"/>
      <c r="H106" s="85"/>
      <c r="I106" s="85"/>
      <c r="J106" s="145"/>
      <c r="K106" s="152"/>
      <c r="L106" s="152"/>
      <c r="M106" s="145"/>
      <c r="N106" s="148"/>
    </row>
    <row r="107" spans="1:14" x14ac:dyDescent="0.25">
      <c r="A107" s="85"/>
      <c r="B107" s="85"/>
      <c r="C107" s="85"/>
      <c r="D107" s="150"/>
      <c r="E107" s="85"/>
      <c r="F107" s="85"/>
      <c r="G107" s="85"/>
      <c r="H107" s="85"/>
      <c r="I107" s="85"/>
      <c r="J107" s="145"/>
      <c r="K107" s="152"/>
      <c r="L107" s="152"/>
      <c r="M107" s="145"/>
      <c r="N107" s="148"/>
    </row>
    <row r="108" spans="1:14" x14ac:dyDescent="0.25">
      <c r="A108" s="85"/>
      <c r="B108" s="85"/>
      <c r="C108" s="85"/>
      <c r="D108" s="150"/>
      <c r="E108" s="85"/>
      <c r="F108" s="85"/>
      <c r="G108" s="85"/>
      <c r="H108" s="85"/>
      <c r="I108" s="85"/>
      <c r="J108" s="145"/>
      <c r="K108" s="152"/>
      <c r="L108" s="152"/>
      <c r="M108" s="145"/>
      <c r="N108" s="148"/>
    </row>
    <row r="109" spans="1:14" x14ac:dyDescent="0.25">
      <c r="A109" s="85"/>
      <c r="B109" s="85"/>
      <c r="C109" s="85"/>
      <c r="D109" s="150"/>
      <c r="E109" s="85"/>
      <c r="F109" s="85"/>
      <c r="G109" s="85"/>
      <c r="H109" s="85"/>
      <c r="I109" s="85"/>
      <c r="J109" s="145"/>
      <c r="K109" s="152"/>
      <c r="L109" s="152"/>
      <c r="M109" s="145"/>
      <c r="N109" s="148"/>
    </row>
    <row r="110" spans="1:14" x14ac:dyDescent="0.25">
      <c r="A110" s="85"/>
      <c r="B110" s="85"/>
      <c r="C110" s="85"/>
      <c r="D110" s="150"/>
      <c r="E110" s="85"/>
      <c r="F110" s="85"/>
      <c r="G110" s="85"/>
      <c r="H110" s="85"/>
      <c r="I110" s="85"/>
      <c r="J110" s="145"/>
      <c r="K110" s="152"/>
      <c r="L110" s="152"/>
      <c r="M110" s="145"/>
      <c r="N110" s="148"/>
    </row>
    <row r="111" spans="1:14" x14ac:dyDescent="0.25">
      <c r="A111" s="85"/>
      <c r="B111" s="85"/>
      <c r="C111" s="85"/>
      <c r="D111" s="150"/>
      <c r="E111" s="85"/>
      <c r="F111" s="85"/>
      <c r="G111" s="85"/>
      <c r="H111" s="85"/>
      <c r="I111" s="85"/>
      <c r="J111" s="145"/>
      <c r="K111" s="152"/>
      <c r="L111" s="152"/>
      <c r="M111" s="145"/>
      <c r="N111" s="148"/>
    </row>
    <row r="112" spans="1:14" x14ac:dyDescent="0.25">
      <c r="A112" s="85"/>
      <c r="B112" s="85"/>
      <c r="C112" s="85"/>
      <c r="D112" s="150"/>
      <c r="E112" s="85"/>
      <c r="F112" s="85"/>
      <c r="G112" s="85"/>
      <c r="H112" s="85"/>
      <c r="I112" s="85"/>
      <c r="J112" s="145"/>
      <c r="K112" s="152"/>
      <c r="L112" s="152"/>
      <c r="M112" s="145"/>
      <c r="N112" s="148"/>
    </row>
    <row r="113" spans="1:14" x14ac:dyDescent="0.25">
      <c r="A113" s="85"/>
      <c r="B113" s="85"/>
      <c r="C113" s="85"/>
      <c r="D113" s="150"/>
      <c r="E113" s="85"/>
      <c r="F113" s="85"/>
      <c r="G113" s="85"/>
      <c r="H113" s="85"/>
      <c r="I113" s="85"/>
      <c r="J113" s="145"/>
      <c r="K113" s="152"/>
      <c r="L113" s="152"/>
      <c r="M113" s="145"/>
      <c r="N113" s="148"/>
    </row>
    <row r="114" spans="1:14" x14ac:dyDescent="0.25">
      <c r="A114" s="85"/>
      <c r="B114" s="85"/>
      <c r="C114" s="85"/>
      <c r="D114" s="150"/>
      <c r="E114" s="85"/>
      <c r="F114" s="85"/>
      <c r="G114" s="85"/>
      <c r="H114" s="85"/>
      <c r="I114" s="85"/>
      <c r="J114" s="145"/>
      <c r="K114" s="152"/>
      <c r="L114" s="152"/>
      <c r="M114" s="145"/>
      <c r="N114" s="148"/>
    </row>
    <row r="115" spans="1:14" x14ac:dyDescent="0.25">
      <c r="A115" s="85"/>
      <c r="B115" s="85"/>
      <c r="C115" s="85"/>
      <c r="D115" s="150"/>
      <c r="E115" s="85"/>
      <c r="F115" s="85"/>
      <c r="G115" s="85"/>
      <c r="H115" s="85"/>
      <c r="I115" s="85"/>
      <c r="J115" s="145"/>
      <c r="K115" s="152"/>
      <c r="L115" s="152"/>
      <c r="M115" s="145"/>
      <c r="N115" s="148"/>
    </row>
    <row r="116" spans="1:14" x14ac:dyDescent="0.25">
      <c r="A116" s="85"/>
      <c r="B116" s="85"/>
      <c r="C116" s="85"/>
      <c r="D116" s="150"/>
      <c r="E116" s="85"/>
      <c r="F116" s="85"/>
      <c r="G116" s="85"/>
      <c r="H116" s="85"/>
      <c r="I116" s="85"/>
      <c r="J116" s="145"/>
      <c r="K116" s="152"/>
      <c r="L116" s="152"/>
      <c r="M116" s="145"/>
      <c r="N116" s="148"/>
    </row>
    <row r="117" spans="1:14" x14ac:dyDescent="0.25">
      <c r="A117" s="85"/>
      <c r="B117" s="85"/>
      <c r="C117" s="85"/>
      <c r="D117" s="150"/>
      <c r="E117" s="85"/>
      <c r="F117" s="85"/>
      <c r="G117" s="85"/>
      <c r="H117" s="85"/>
      <c r="I117" s="85"/>
      <c r="J117" s="145"/>
      <c r="K117" s="152"/>
      <c r="L117" s="152"/>
      <c r="M117" s="145"/>
      <c r="N117" s="148"/>
    </row>
    <row r="118" spans="1:14" x14ac:dyDescent="0.25">
      <c r="A118" s="85"/>
      <c r="B118" s="85"/>
      <c r="C118" s="85"/>
      <c r="D118" s="150"/>
      <c r="E118" s="85"/>
      <c r="F118" s="85"/>
      <c r="G118" s="85"/>
      <c r="H118" s="85"/>
      <c r="I118" s="85"/>
      <c r="J118" s="145"/>
      <c r="K118" s="152"/>
      <c r="L118" s="152"/>
      <c r="M118" s="145"/>
      <c r="N118" s="148"/>
    </row>
    <row r="119" spans="1:14" x14ac:dyDescent="0.25">
      <c r="A119" s="85"/>
      <c r="B119" s="85"/>
      <c r="C119" s="85"/>
      <c r="D119" s="150"/>
      <c r="E119" s="85"/>
      <c r="F119" s="85"/>
      <c r="G119" s="85"/>
      <c r="H119" s="85"/>
      <c r="I119" s="85"/>
      <c r="J119" s="145"/>
      <c r="K119" s="152"/>
      <c r="L119" s="152"/>
      <c r="M119" s="145"/>
      <c r="N119" s="148"/>
    </row>
    <row r="120" spans="1:14" x14ac:dyDescent="0.25">
      <c r="A120" s="85"/>
      <c r="B120" s="85"/>
      <c r="C120" s="85"/>
      <c r="D120" s="150"/>
      <c r="E120" s="85"/>
      <c r="F120" s="85"/>
      <c r="G120" s="85"/>
      <c r="H120" s="85"/>
      <c r="I120" s="85"/>
      <c r="J120" s="145"/>
      <c r="K120" s="152"/>
      <c r="L120" s="152"/>
      <c r="M120" s="145"/>
      <c r="N120" s="148"/>
    </row>
    <row r="121" spans="1:14" x14ac:dyDescent="0.25">
      <c r="A121" s="85"/>
      <c r="B121" s="85"/>
      <c r="C121" s="85"/>
      <c r="D121" s="150"/>
      <c r="E121" s="85"/>
      <c r="F121" s="85"/>
      <c r="G121" s="85"/>
      <c r="H121" s="85"/>
      <c r="I121" s="85"/>
      <c r="J121" s="145"/>
      <c r="K121" s="152"/>
      <c r="L121" s="152"/>
      <c r="M121" s="145"/>
      <c r="N121" s="148"/>
    </row>
    <row r="122" spans="1:14" x14ac:dyDescent="0.25">
      <c r="A122" s="85"/>
      <c r="B122" s="85"/>
      <c r="C122" s="85"/>
      <c r="D122" s="150"/>
      <c r="E122" s="85"/>
      <c r="F122" s="85"/>
      <c r="G122" s="85"/>
      <c r="H122" s="85"/>
      <c r="I122" s="85"/>
      <c r="J122" s="145"/>
      <c r="K122" s="152"/>
      <c r="L122" s="152"/>
      <c r="M122" s="145"/>
      <c r="N122" s="148"/>
    </row>
    <row r="123" spans="1:14" x14ac:dyDescent="0.25">
      <c r="A123" s="85"/>
      <c r="B123" s="85"/>
      <c r="C123" s="85"/>
      <c r="D123" s="150"/>
      <c r="E123" s="85"/>
      <c r="F123" s="85"/>
      <c r="G123" s="85"/>
      <c r="H123" s="85"/>
      <c r="I123" s="85"/>
      <c r="J123" s="145"/>
      <c r="K123" s="152"/>
      <c r="L123" s="152"/>
      <c r="M123" s="145"/>
      <c r="N123" s="148"/>
    </row>
    <row r="124" spans="1:14" x14ac:dyDescent="0.25">
      <c r="A124" s="85"/>
      <c r="B124" s="85"/>
      <c r="C124" s="85"/>
      <c r="D124" s="150"/>
      <c r="E124" s="85"/>
      <c r="F124" s="85"/>
      <c r="G124" s="85"/>
      <c r="H124" s="85"/>
      <c r="I124" s="85"/>
      <c r="J124" s="145"/>
      <c r="K124" s="152"/>
      <c r="L124" s="152"/>
      <c r="M124" s="145"/>
      <c r="N124" s="148"/>
    </row>
    <row r="125" spans="1:14" x14ac:dyDescent="0.25">
      <c r="A125" s="85"/>
      <c r="B125" s="85"/>
      <c r="C125" s="85"/>
      <c r="D125" s="150"/>
      <c r="E125" s="85"/>
      <c r="F125" s="85"/>
      <c r="G125" s="85"/>
      <c r="H125" s="85"/>
      <c r="I125" s="85"/>
      <c r="J125" s="145"/>
      <c r="K125" s="152"/>
      <c r="L125" s="152"/>
      <c r="M125" s="145"/>
      <c r="N125" s="148"/>
    </row>
    <row r="126" spans="1:14" x14ac:dyDescent="0.25">
      <c r="A126" s="85"/>
      <c r="B126" s="85"/>
      <c r="C126" s="85"/>
      <c r="D126" s="150"/>
      <c r="E126" s="85"/>
      <c r="F126" s="85"/>
      <c r="G126" s="85"/>
      <c r="H126" s="85"/>
      <c r="I126" s="85"/>
      <c r="J126" s="145"/>
      <c r="K126" s="152"/>
      <c r="L126" s="152"/>
      <c r="M126" s="145"/>
      <c r="N126" s="148"/>
    </row>
    <row r="127" spans="1:14" x14ac:dyDescent="0.25">
      <c r="A127" s="85"/>
      <c r="B127" s="85"/>
      <c r="C127" s="85"/>
      <c r="D127" s="150"/>
      <c r="E127" s="85"/>
      <c r="F127" s="85"/>
      <c r="G127" s="85"/>
      <c r="H127" s="85"/>
      <c r="I127" s="85"/>
      <c r="J127" s="145"/>
      <c r="K127" s="152"/>
      <c r="L127" s="152"/>
      <c r="M127" s="145"/>
      <c r="N127" s="148"/>
    </row>
    <row r="128" spans="1:14" x14ac:dyDescent="0.25">
      <c r="A128" s="85"/>
      <c r="B128" s="85"/>
      <c r="C128" s="85"/>
      <c r="D128" s="150"/>
      <c r="E128" s="85"/>
      <c r="F128" s="85"/>
      <c r="G128" s="85"/>
      <c r="H128" s="85"/>
      <c r="I128" s="85"/>
      <c r="J128" s="145"/>
      <c r="K128" s="152"/>
      <c r="L128" s="152"/>
      <c r="M128" s="145"/>
      <c r="N128" s="148"/>
    </row>
    <row r="129" spans="1:14" x14ac:dyDescent="0.25">
      <c r="A129" s="85"/>
      <c r="B129" s="85"/>
      <c r="C129" s="85"/>
      <c r="D129" s="150"/>
      <c r="E129" s="85"/>
      <c r="F129" s="85"/>
      <c r="G129" s="85"/>
      <c r="H129" s="85"/>
      <c r="I129" s="85"/>
      <c r="J129" s="145"/>
      <c r="K129" s="152"/>
      <c r="L129" s="152"/>
      <c r="M129" s="145"/>
      <c r="N129" s="148"/>
    </row>
    <row r="130" spans="1:14" x14ac:dyDescent="0.25">
      <c r="A130" s="85"/>
      <c r="B130" s="85"/>
      <c r="C130" s="85"/>
      <c r="D130" s="150"/>
      <c r="E130" s="85"/>
      <c r="F130" s="85"/>
      <c r="G130" s="85"/>
      <c r="H130" s="85"/>
      <c r="I130" s="85"/>
      <c r="J130" s="145"/>
      <c r="K130" s="152"/>
      <c r="L130" s="152"/>
      <c r="M130" s="145"/>
      <c r="N130" s="148"/>
    </row>
    <row r="131" spans="1:14" x14ac:dyDescent="0.25">
      <c r="A131" s="85"/>
      <c r="B131" s="85"/>
      <c r="C131" s="85"/>
      <c r="D131" s="150"/>
      <c r="E131" s="85"/>
      <c r="F131" s="85"/>
      <c r="G131" s="85"/>
      <c r="H131" s="85"/>
      <c r="I131" s="85"/>
      <c r="J131" s="145"/>
      <c r="K131" s="152"/>
      <c r="L131" s="152"/>
      <c r="M131" s="145"/>
      <c r="N131" s="148"/>
    </row>
    <row r="132" spans="1:14" x14ac:dyDescent="0.25">
      <c r="A132" s="85"/>
      <c r="B132" s="85"/>
      <c r="C132" s="85"/>
      <c r="D132" s="150"/>
      <c r="E132" s="85"/>
      <c r="F132" s="85"/>
      <c r="G132" s="85"/>
      <c r="H132" s="85"/>
      <c r="I132" s="85"/>
      <c r="J132" s="145"/>
      <c r="K132" s="152"/>
      <c r="L132" s="152"/>
      <c r="M132" s="145"/>
      <c r="N132" s="148"/>
    </row>
    <row r="133" spans="1:14" x14ac:dyDescent="0.25">
      <c r="A133" s="85"/>
      <c r="B133" s="85"/>
      <c r="C133" s="85"/>
      <c r="D133" s="150"/>
      <c r="E133" s="85"/>
      <c r="F133" s="85"/>
      <c r="G133" s="85"/>
      <c r="H133" s="85"/>
      <c r="I133" s="85"/>
      <c r="J133" s="145"/>
      <c r="K133" s="152"/>
      <c r="L133" s="152"/>
      <c r="M133" s="145"/>
      <c r="N133" s="148"/>
    </row>
    <row r="134" spans="1:14" x14ac:dyDescent="0.25">
      <c r="A134" s="85"/>
      <c r="B134" s="85"/>
      <c r="C134" s="85"/>
      <c r="D134" s="150"/>
      <c r="E134" s="85"/>
      <c r="F134" s="85"/>
      <c r="G134" s="85"/>
      <c r="H134" s="85"/>
      <c r="I134" s="85"/>
      <c r="J134" s="145"/>
      <c r="K134" s="152"/>
      <c r="L134" s="152"/>
      <c r="M134" s="145"/>
      <c r="N134" s="148"/>
    </row>
    <row r="135" spans="1:14" x14ac:dyDescent="0.25">
      <c r="A135" s="85"/>
      <c r="B135" s="85"/>
      <c r="C135" s="85"/>
      <c r="D135" s="150"/>
      <c r="E135" s="85"/>
      <c r="F135" s="85"/>
      <c r="G135" s="85"/>
      <c r="H135" s="85"/>
      <c r="I135" s="85"/>
      <c r="J135" s="145"/>
      <c r="K135" s="152"/>
      <c r="L135" s="152"/>
      <c r="M135" s="145"/>
      <c r="N135" s="148"/>
    </row>
    <row r="136" spans="1:14" x14ac:dyDescent="0.25">
      <c r="A136" s="85"/>
      <c r="B136" s="85"/>
      <c r="C136" s="85"/>
      <c r="D136" s="150"/>
      <c r="E136" s="85"/>
      <c r="F136" s="85"/>
      <c r="G136" s="85"/>
      <c r="H136" s="85"/>
      <c r="I136" s="85"/>
      <c r="J136" s="145"/>
      <c r="K136" s="152"/>
      <c r="L136" s="152"/>
      <c r="M136" s="145"/>
      <c r="N136" s="148"/>
    </row>
    <row r="137" spans="1:14" x14ac:dyDescent="0.25">
      <c r="A137" s="85"/>
      <c r="B137" s="85"/>
      <c r="C137" s="85"/>
      <c r="D137" s="150"/>
      <c r="E137" s="85"/>
      <c r="F137" s="85"/>
      <c r="G137" s="85"/>
      <c r="H137" s="85"/>
      <c r="I137" s="85"/>
      <c r="J137" s="145"/>
      <c r="K137" s="152"/>
      <c r="L137" s="152"/>
      <c r="M137" s="145"/>
      <c r="N137" s="148"/>
    </row>
    <row r="138" spans="1:14" x14ac:dyDescent="0.25">
      <c r="A138" s="85"/>
      <c r="B138" s="85"/>
      <c r="C138" s="85"/>
      <c r="D138" s="150"/>
      <c r="E138" s="85"/>
      <c r="F138" s="85"/>
      <c r="G138" s="85"/>
      <c r="H138" s="85"/>
      <c r="I138" s="85"/>
      <c r="J138" s="145"/>
      <c r="K138" s="152"/>
      <c r="L138" s="152"/>
      <c r="M138" s="145"/>
      <c r="N138" s="148"/>
    </row>
    <row r="139" spans="1:14" x14ac:dyDescent="0.25">
      <c r="A139" s="85"/>
      <c r="B139" s="85"/>
      <c r="C139" s="85"/>
      <c r="D139" s="150"/>
      <c r="E139" s="85"/>
      <c r="F139" s="85"/>
      <c r="G139" s="85"/>
      <c r="H139" s="85"/>
      <c r="I139" s="85"/>
      <c r="J139" s="145"/>
      <c r="K139" s="152"/>
      <c r="L139" s="152"/>
      <c r="M139" s="145"/>
      <c r="N139" s="148"/>
    </row>
    <row r="140" spans="1:14" x14ac:dyDescent="0.25">
      <c r="A140" s="85"/>
      <c r="B140" s="85"/>
      <c r="C140" s="85"/>
      <c r="D140" s="150"/>
      <c r="E140" s="85"/>
      <c r="F140" s="85"/>
      <c r="G140" s="85"/>
      <c r="H140" s="85"/>
      <c r="I140" s="85"/>
      <c r="J140" s="145"/>
      <c r="K140" s="152"/>
      <c r="L140" s="152"/>
      <c r="M140" s="145"/>
      <c r="N140" s="148"/>
    </row>
    <row r="141" spans="1:14" x14ac:dyDescent="0.25">
      <c r="A141" s="85"/>
      <c r="B141" s="85"/>
      <c r="C141" s="85"/>
      <c r="D141" s="150"/>
      <c r="E141" s="85"/>
      <c r="F141" s="85"/>
      <c r="G141" s="85"/>
      <c r="H141" s="85"/>
      <c r="I141" s="85"/>
      <c r="J141" s="145"/>
      <c r="K141" s="152"/>
      <c r="L141" s="152"/>
      <c r="M141" s="145"/>
      <c r="N141" s="148"/>
    </row>
    <row r="142" spans="1:14" x14ac:dyDescent="0.25">
      <c r="A142" s="85"/>
      <c r="B142" s="85"/>
      <c r="C142" s="85"/>
      <c r="D142" s="150"/>
      <c r="E142" s="85"/>
      <c r="F142" s="85"/>
      <c r="G142" s="85"/>
      <c r="H142" s="85"/>
      <c r="I142" s="85"/>
      <c r="J142" s="145"/>
      <c r="K142" s="152"/>
      <c r="L142" s="152"/>
      <c r="M142" s="145"/>
      <c r="N142" s="148"/>
    </row>
    <row r="143" spans="1:14" x14ac:dyDescent="0.25">
      <c r="A143" s="85"/>
      <c r="B143" s="85"/>
      <c r="C143" s="85"/>
      <c r="D143" s="150"/>
      <c r="E143" s="85"/>
      <c r="F143" s="85"/>
      <c r="G143" s="85"/>
      <c r="H143" s="85"/>
      <c r="I143" s="85"/>
      <c r="J143" s="145"/>
      <c r="K143" s="152"/>
      <c r="L143" s="152"/>
      <c r="M143" s="145"/>
      <c r="N143" s="148"/>
    </row>
    <row r="144" spans="1:14" x14ac:dyDescent="0.25">
      <c r="A144" s="85"/>
      <c r="B144" s="85"/>
      <c r="C144" s="85"/>
      <c r="D144" s="150"/>
      <c r="E144" s="85"/>
      <c r="F144" s="85"/>
      <c r="G144" s="85"/>
      <c r="H144" s="85"/>
      <c r="I144" s="85"/>
      <c r="J144" s="145"/>
      <c r="K144" s="152"/>
      <c r="L144" s="152"/>
      <c r="M144" s="145"/>
      <c r="N144" s="148"/>
    </row>
    <row r="145" spans="1:14" x14ac:dyDescent="0.25">
      <c r="A145" s="85"/>
      <c r="B145" s="85"/>
      <c r="C145" s="85"/>
      <c r="D145" s="150"/>
      <c r="E145" s="85"/>
      <c r="F145" s="85"/>
      <c r="G145" s="85"/>
      <c r="H145" s="85"/>
      <c r="I145" s="85"/>
      <c r="J145" s="145"/>
      <c r="K145" s="152"/>
      <c r="L145" s="152"/>
      <c r="M145" s="145"/>
      <c r="N145" s="148"/>
    </row>
    <row r="146" spans="1:14" x14ac:dyDescent="0.25">
      <c r="A146" s="85"/>
      <c r="B146" s="85"/>
      <c r="C146" s="85"/>
      <c r="D146" s="150"/>
      <c r="E146" s="85"/>
      <c r="F146" s="85"/>
      <c r="G146" s="85"/>
      <c r="H146" s="85"/>
      <c r="I146" s="85"/>
      <c r="J146" s="145"/>
      <c r="K146" s="152"/>
      <c r="L146" s="152"/>
      <c r="M146" s="145"/>
      <c r="N146" s="148"/>
    </row>
    <row r="147" spans="1:14" x14ac:dyDescent="0.25">
      <c r="A147" s="85"/>
      <c r="B147" s="85"/>
      <c r="C147" s="85"/>
      <c r="D147" s="150"/>
      <c r="E147" s="85"/>
      <c r="F147" s="85"/>
      <c r="G147" s="85"/>
      <c r="H147" s="85"/>
      <c r="I147" s="85"/>
      <c r="J147" s="145"/>
      <c r="K147" s="152"/>
      <c r="L147" s="152"/>
      <c r="M147" s="145"/>
      <c r="N147" s="148"/>
    </row>
    <row r="148" spans="1:14" x14ac:dyDescent="0.25">
      <c r="A148" s="85"/>
      <c r="B148" s="85"/>
      <c r="C148" s="85"/>
      <c r="D148" s="150"/>
      <c r="E148" s="85"/>
      <c r="F148" s="85"/>
      <c r="G148" s="85"/>
      <c r="H148" s="85"/>
      <c r="I148" s="85"/>
      <c r="J148" s="145"/>
      <c r="K148" s="152"/>
      <c r="L148" s="152"/>
      <c r="M148" s="145"/>
      <c r="N148" s="148"/>
    </row>
    <row r="149" spans="1:14" x14ac:dyDescent="0.25">
      <c r="A149" s="85"/>
      <c r="B149" s="85"/>
      <c r="C149" s="85"/>
      <c r="D149" s="150"/>
      <c r="E149" s="85"/>
      <c r="F149" s="85"/>
      <c r="G149" s="85"/>
      <c r="H149" s="85"/>
      <c r="I149" s="85"/>
      <c r="J149" s="145"/>
      <c r="K149" s="152"/>
      <c r="L149" s="152"/>
      <c r="M149" s="145"/>
      <c r="N149" s="148"/>
    </row>
    <row r="150" spans="1:14" x14ac:dyDescent="0.25">
      <c r="A150" s="85"/>
      <c r="B150" s="85"/>
      <c r="C150" s="85"/>
      <c r="D150" s="150"/>
      <c r="E150" s="85"/>
      <c r="F150" s="85"/>
      <c r="G150" s="85"/>
      <c r="H150" s="85"/>
      <c r="I150" s="85"/>
      <c r="J150" s="145"/>
      <c r="K150" s="152"/>
      <c r="L150" s="152"/>
      <c r="M150" s="145"/>
      <c r="N150" s="148"/>
    </row>
    <row r="151" spans="1:14" x14ac:dyDescent="0.25">
      <c r="A151" s="85"/>
      <c r="B151" s="85"/>
      <c r="C151" s="85"/>
      <c r="D151" s="150"/>
      <c r="E151" s="85"/>
      <c r="F151" s="85"/>
      <c r="G151" s="85"/>
      <c r="H151" s="85"/>
      <c r="I151" s="85"/>
      <c r="J151" s="145"/>
      <c r="K151" s="152"/>
      <c r="L151" s="152"/>
      <c r="M151" s="145"/>
      <c r="N151" s="148"/>
    </row>
    <row r="152" spans="1:14" x14ac:dyDescent="0.25">
      <c r="A152" s="85"/>
      <c r="B152" s="85"/>
      <c r="C152" s="85"/>
      <c r="D152" s="150"/>
      <c r="E152" s="85"/>
      <c r="F152" s="85"/>
      <c r="G152" s="85"/>
      <c r="H152" s="85"/>
      <c r="I152" s="85"/>
      <c r="J152" s="145"/>
      <c r="K152" s="152"/>
      <c r="L152" s="152"/>
      <c r="M152" s="145"/>
      <c r="N152" s="148"/>
    </row>
    <row r="153" spans="1:14" x14ac:dyDescent="0.25">
      <c r="A153" s="85"/>
      <c r="B153" s="85"/>
      <c r="C153" s="85"/>
      <c r="D153" s="150"/>
      <c r="E153" s="85"/>
      <c r="F153" s="85"/>
      <c r="G153" s="85"/>
      <c r="H153" s="85"/>
      <c r="I153" s="85"/>
      <c r="J153" s="145"/>
      <c r="K153" s="152"/>
      <c r="L153" s="152"/>
      <c r="M153" s="145"/>
      <c r="N153" s="148"/>
    </row>
    <row r="154" spans="1:14" x14ac:dyDescent="0.25">
      <c r="A154" s="85"/>
      <c r="B154" s="85"/>
      <c r="C154" s="85"/>
      <c r="D154" s="150"/>
      <c r="E154" s="85"/>
      <c r="F154" s="85"/>
      <c r="G154" s="85"/>
      <c r="H154" s="85"/>
      <c r="I154" s="85"/>
      <c r="J154" s="145"/>
      <c r="K154" s="152"/>
      <c r="L154" s="152"/>
      <c r="M154" s="145"/>
      <c r="N154" s="148"/>
    </row>
    <row r="155" spans="1:14" x14ac:dyDescent="0.25">
      <c r="A155" s="85"/>
      <c r="B155" s="85"/>
      <c r="C155" s="85"/>
      <c r="D155" s="150"/>
      <c r="E155" s="85"/>
      <c r="F155" s="85"/>
      <c r="G155" s="85"/>
      <c r="H155" s="85"/>
      <c r="I155" s="85"/>
      <c r="J155" s="145"/>
      <c r="K155" s="152"/>
      <c r="L155" s="152"/>
      <c r="M155" s="145"/>
      <c r="N155" s="148"/>
    </row>
    <row r="156" spans="1:14" x14ac:dyDescent="0.25">
      <c r="A156" s="85"/>
      <c r="B156" s="85"/>
      <c r="C156" s="85"/>
      <c r="D156" s="150"/>
      <c r="E156" s="85"/>
      <c r="F156" s="85"/>
      <c r="G156" s="85"/>
      <c r="H156" s="85"/>
      <c r="I156" s="85"/>
      <c r="J156" s="145"/>
      <c r="K156" s="152"/>
      <c r="L156" s="152"/>
      <c r="M156" s="145"/>
      <c r="N156" s="148"/>
    </row>
    <row r="157" spans="1:14" x14ac:dyDescent="0.25">
      <c r="A157" s="85"/>
      <c r="B157" s="85"/>
      <c r="C157" s="85"/>
      <c r="D157" s="150"/>
      <c r="E157" s="85"/>
      <c r="F157" s="85"/>
      <c r="G157" s="85"/>
      <c r="H157" s="85"/>
      <c r="I157" s="85"/>
      <c r="J157" s="145"/>
      <c r="K157" s="152"/>
      <c r="L157" s="152"/>
      <c r="M157" s="145"/>
      <c r="N157" s="148"/>
    </row>
    <row r="158" spans="1:14" x14ac:dyDescent="0.25">
      <c r="A158" s="85"/>
      <c r="B158" s="85"/>
      <c r="C158" s="85"/>
      <c r="D158" s="150"/>
      <c r="E158" s="85"/>
      <c r="F158" s="85"/>
      <c r="G158" s="85"/>
      <c r="H158" s="85"/>
      <c r="I158" s="85"/>
      <c r="J158" s="145"/>
      <c r="K158" s="152"/>
      <c r="L158" s="152"/>
      <c r="M158" s="145"/>
      <c r="N158" s="148"/>
    </row>
    <row r="159" spans="1:14" x14ac:dyDescent="0.25">
      <c r="A159" s="85"/>
      <c r="B159" s="85"/>
      <c r="C159" s="85"/>
      <c r="D159" s="150"/>
      <c r="E159" s="85"/>
      <c r="F159" s="85"/>
      <c r="G159" s="85"/>
      <c r="H159" s="85"/>
      <c r="I159" s="85"/>
      <c r="J159" s="145"/>
      <c r="K159" s="152"/>
      <c r="L159" s="152"/>
      <c r="M159" s="145"/>
      <c r="N159" s="148"/>
    </row>
    <row r="160" spans="1:14" x14ac:dyDescent="0.25">
      <c r="A160" s="85"/>
      <c r="B160" s="85"/>
      <c r="C160" s="85"/>
      <c r="D160" s="150"/>
      <c r="E160" s="85"/>
      <c r="F160" s="85"/>
      <c r="G160" s="85"/>
      <c r="H160" s="85"/>
      <c r="I160" s="85"/>
      <c r="J160" s="145"/>
      <c r="K160" s="152"/>
      <c r="L160" s="152"/>
      <c r="M160" s="145"/>
      <c r="N160" s="148"/>
    </row>
    <row r="161" spans="1:14" x14ac:dyDescent="0.25">
      <c r="A161" s="85"/>
      <c r="B161" s="85"/>
      <c r="C161" s="85"/>
      <c r="D161" s="150"/>
      <c r="E161" s="85"/>
      <c r="F161" s="85"/>
      <c r="G161" s="85"/>
      <c r="H161" s="85"/>
      <c r="I161" s="85"/>
      <c r="J161" s="145"/>
      <c r="K161" s="152"/>
      <c r="L161" s="152"/>
      <c r="M161" s="145"/>
      <c r="N161" s="148"/>
    </row>
    <row r="162" spans="1:14" x14ac:dyDescent="0.25">
      <c r="A162" s="85"/>
      <c r="B162" s="85"/>
      <c r="C162" s="85"/>
      <c r="D162" s="150"/>
      <c r="E162" s="85"/>
      <c r="F162" s="85"/>
      <c r="G162" s="85"/>
      <c r="H162" s="85"/>
      <c r="I162" s="85"/>
      <c r="J162" s="145"/>
      <c r="K162" s="152"/>
      <c r="L162" s="152"/>
      <c r="M162" s="145"/>
      <c r="N162" s="148"/>
    </row>
    <row r="163" spans="1:14" x14ac:dyDescent="0.25">
      <c r="A163" s="85"/>
      <c r="B163" s="85"/>
      <c r="C163" s="85"/>
      <c r="D163" s="150"/>
      <c r="E163" s="85"/>
      <c r="F163" s="85"/>
      <c r="G163" s="85"/>
      <c r="H163" s="85"/>
      <c r="I163" s="85"/>
      <c r="J163" s="145"/>
      <c r="K163" s="152"/>
      <c r="L163" s="152"/>
      <c r="M163" s="145"/>
      <c r="N163" s="148"/>
    </row>
    <row r="164" spans="1:14" x14ac:dyDescent="0.25">
      <c r="A164" s="85"/>
      <c r="B164" s="85"/>
      <c r="C164" s="85"/>
      <c r="D164" s="150"/>
      <c r="E164" s="85"/>
      <c r="F164" s="85"/>
      <c r="G164" s="85"/>
      <c r="H164" s="85"/>
      <c r="I164" s="85"/>
      <c r="J164" s="145"/>
      <c r="K164" s="152"/>
      <c r="L164" s="152"/>
      <c r="M164" s="145"/>
      <c r="N164" s="148"/>
    </row>
    <row r="165" spans="1:14" x14ac:dyDescent="0.25">
      <c r="A165" s="85"/>
      <c r="B165" s="85"/>
      <c r="C165" s="85"/>
      <c r="D165" s="150"/>
      <c r="E165" s="85"/>
      <c r="F165" s="85"/>
      <c r="G165" s="85"/>
      <c r="H165" s="85"/>
      <c r="I165" s="85"/>
      <c r="J165" s="145"/>
      <c r="K165" s="152"/>
      <c r="L165" s="152"/>
      <c r="M165" s="145"/>
      <c r="N165" s="148"/>
    </row>
    <row r="166" spans="1:14" x14ac:dyDescent="0.25">
      <c r="A166" s="85"/>
      <c r="B166" s="85"/>
      <c r="C166" s="85"/>
      <c r="D166" s="150"/>
      <c r="E166" s="85"/>
      <c r="F166" s="85"/>
      <c r="G166" s="85"/>
      <c r="H166" s="85"/>
      <c r="I166" s="85"/>
      <c r="J166" s="145"/>
      <c r="K166" s="152"/>
      <c r="L166" s="152"/>
      <c r="M166" s="145"/>
      <c r="N166" s="148"/>
    </row>
    <row r="167" spans="1:14" x14ac:dyDescent="0.25">
      <c r="A167" s="85"/>
      <c r="B167" s="85"/>
      <c r="C167" s="85"/>
      <c r="D167" s="150"/>
      <c r="E167" s="85"/>
      <c r="F167" s="85"/>
      <c r="G167" s="85"/>
      <c r="H167" s="85"/>
      <c r="I167" s="85"/>
      <c r="J167" s="145"/>
      <c r="K167" s="152"/>
      <c r="L167" s="152"/>
      <c r="M167" s="145"/>
      <c r="N167" s="148"/>
    </row>
    <row r="168" spans="1:14" x14ac:dyDescent="0.25">
      <c r="A168" s="85"/>
      <c r="B168" s="85"/>
      <c r="C168" s="85"/>
      <c r="D168" s="150"/>
      <c r="E168" s="85"/>
      <c r="F168" s="85"/>
      <c r="G168" s="85"/>
      <c r="H168" s="85"/>
      <c r="I168" s="85"/>
      <c r="J168" s="145"/>
      <c r="K168" s="152"/>
      <c r="L168" s="152"/>
      <c r="M168" s="145"/>
      <c r="N168" s="148"/>
    </row>
    <row r="169" spans="1:14" x14ac:dyDescent="0.25">
      <c r="A169" s="85"/>
      <c r="B169" s="85"/>
      <c r="C169" s="85"/>
      <c r="D169" s="150"/>
      <c r="E169" s="85"/>
      <c r="F169" s="85"/>
      <c r="G169" s="85"/>
      <c r="H169" s="85"/>
      <c r="I169" s="85"/>
      <c r="J169" s="145"/>
      <c r="K169" s="152"/>
      <c r="L169" s="152"/>
      <c r="M169" s="145"/>
      <c r="N169" s="148"/>
    </row>
    <row r="170" spans="1:14" x14ac:dyDescent="0.25">
      <c r="A170" s="85"/>
      <c r="B170" s="85"/>
      <c r="C170" s="85"/>
      <c r="D170" s="150"/>
      <c r="E170" s="85"/>
      <c r="F170" s="85"/>
      <c r="G170" s="85"/>
      <c r="H170" s="85"/>
      <c r="I170" s="85"/>
      <c r="J170" s="145"/>
      <c r="K170" s="152"/>
      <c r="L170" s="152"/>
      <c r="M170" s="145"/>
      <c r="N170" s="148"/>
    </row>
    <row r="171" spans="1:14" x14ac:dyDescent="0.25">
      <c r="A171" s="85"/>
      <c r="B171" s="85"/>
      <c r="C171" s="85"/>
      <c r="D171" s="150"/>
      <c r="E171" s="85"/>
      <c r="F171" s="85"/>
      <c r="G171" s="85"/>
      <c r="H171" s="85"/>
      <c r="I171" s="85"/>
      <c r="J171" s="145"/>
      <c r="K171" s="152"/>
      <c r="L171" s="152"/>
      <c r="M171" s="145"/>
      <c r="N171" s="148"/>
    </row>
    <row r="172" spans="1:14" x14ac:dyDescent="0.25">
      <c r="A172" s="85"/>
      <c r="B172" s="85"/>
      <c r="C172" s="85"/>
      <c r="D172" s="150"/>
      <c r="E172" s="85"/>
      <c r="F172" s="85"/>
      <c r="G172" s="85"/>
      <c r="H172" s="85"/>
      <c r="I172" s="85"/>
      <c r="J172" s="145"/>
      <c r="K172" s="152"/>
      <c r="L172" s="152"/>
      <c r="M172" s="145"/>
      <c r="N172" s="148"/>
    </row>
    <row r="173" spans="1:14" x14ac:dyDescent="0.25">
      <c r="A173" s="85"/>
      <c r="B173" s="85"/>
      <c r="C173" s="85"/>
      <c r="D173" s="150"/>
      <c r="E173" s="85"/>
      <c r="F173" s="85"/>
      <c r="G173" s="85"/>
      <c r="H173" s="85"/>
      <c r="I173" s="85"/>
      <c r="J173" s="145"/>
      <c r="K173" s="152"/>
      <c r="L173" s="152"/>
      <c r="M173" s="145"/>
      <c r="N173" s="148"/>
    </row>
    <row r="174" spans="1:14" x14ac:dyDescent="0.25">
      <c r="A174" s="85"/>
      <c r="B174" s="85"/>
      <c r="C174" s="85"/>
      <c r="D174" s="150"/>
      <c r="E174" s="85"/>
      <c r="F174" s="85"/>
      <c r="G174" s="85"/>
      <c r="H174" s="85"/>
      <c r="I174" s="85"/>
      <c r="J174" s="145"/>
      <c r="K174" s="152"/>
      <c r="L174" s="152"/>
      <c r="M174" s="145"/>
      <c r="N174" s="148"/>
    </row>
    <row r="175" spans="1:14" x14ac:dyDescent="0.25">
      <c r="A175" s="85"/>
      <c r="B175" s="85"/>
      <c r="C175" s="85"/>
      <c r="D175" s="150"/>
      <c r="E175" s="85"/>
      <c r="F175" s="85"/>
      <c r="G175" s="85"/>
      <c r="H175" s="85"/>
      <c r="I175" s="85"/>
      <c r="J175" s="145"/>
      <c r="K175" s="152"/>
      <c r="L175" s="152"/>
      <c r="M175" s="145"/>
      <c r="N175" s="148"/>
    </row>
    <row r="176" spans="1:14" x14ac:dyDescent="0.25">
      <c r="A176" s="85"/>
      <c r="B176" s="85"/>
      <c r="C176" s="85"/>
      <c r="D176" s="150"/>
      <c r="E176" s="85"/>
      <c r="F176" s="85"/>
      <c r="G176" s="85"/>
      <c r="H176" s="85"/>
      <c r="I176" s="85"/>
      <c r="J176" s="145"/>
      <c r="K176" s="152"/>
      <c r="L176" s="152"/>
      <c r="M176" s="145"/>
      <c r="N176" s="148"/>
    </row>
    <row r="177" spans="1:14" x14ac:dyDescent="0.25">
      <c r="A177" s="85"/>
      <c r="B177" s="85"/>
      <c r="C177" s="85"/>
      <c r="D177" s="150"/>
      <c r="E177" s="85"/>
      <c r="F177" s="85"/>
      <c r="G177" s="85"/>
      <c r="H177" s="85"/>
      <c r="I177" s="85"/>
      <c r="J177" s="145"/>
      <c r="K177" s="152"/>
      <c r="L177" s="152"/>
      <c r="M177" s="145"/>
      <c r="N177" s="148"/>
    </row>
    <row r="178" spans="1:14" x14ac:dyDescent="0.25">
      <c r="A178" s="85"/>
      <c r="B178" s="85"/>
      <c r="C178" s="85"/>
      <c r="D178" s="150"/>
      <c r="E178" s="85"/>
      <c r="F178" s="85"/>
      <c r="G178" s="85"/>
      <c r="H178" s="85"/>
      <c r="I178" s="85"/>
      <c r="J178" s="145"/>
      <c r="K178" s="152"/>
      <c r="L178" s="152"/>
      <c r="M178" s="145"/>
      <c r="N178" s="148"/>
    </row>
    <row r="179" spans="1:14" x14ac:dyDescent="0.25">
      <c r="A179" s="85"/>
      <c r="B179" s="85"/>
      <c r="C179" s="85"/>
      <c r="D179" s="150"/>
      <c r="E179" s="85"/>
      <c r="F179" s="85"/>
      <c r="G179" s="85"/>
      <c r="H179" s="85"/>
      <c r="I179" s="85"/>
      <c r="J179" s="145"/>
      <c r="K179" s="152"/>
      <c r="L179" s="152"/>
      <c r="M179" s="145"/>
      <c r="N179" s="148"/>
    </row>
    <row r="180" spans="1:14" x14ac:dyDescent="0.25">
      <c r="A180" s="85"/>
      <c r="B180" s="85"/>
      <c r="C180" s="85"/>
      <c r="D180" s="150"/>
      <c r="E180" s="85"/>
      <c r="F180" s="85"/>
      <c r="G180" s="85"/>
      <c r="H180" s="85"/>
      <c r="I180" s="85"/>
      <c r="J180" s="145"/>
      <c r="K180" s="152"/>
      <c r="L180" s="152"/>
      <c r="M180" s="145"/>
      <c r="N180" s="148"/>
    </row>
    <row r="181" spans="1:14" x14ac:dyDescent="0.25">
      <c r="A181" s="85"/>
      <c r="B181" s="85"/>
      <c r="C181" s="85"/>
      <c r="D181" s="150"/>
      <c r="E181" s="85"/>
      <c r="F181" s="85"/>
      <c r="G181" s="85"/>
      <c r="H181" s="85"/>
      <c r="I181" s="85"/>
      <c r="J181" s="145"/>
      <c r="K181" s="152"/>
      <c r="L181" s="152"/>
      <c r="M181" s="145"/>
      <c r="N181" s="148"/>
    </row>
    <row r="182" spans="1:14" x14ac:dyDescent="0.25">
      <c r="A182" s="85"/>
      <c r="B182" s="85"/>
      <c r="C182" s="85"/>
      <c r="D182" s="150"/>
      <c r="E182" s="85"/>
      <c r="F182" s="85"/>
      <c r="G182" s="85"/>
      <c r="H182" s="85"/>
      <c r="I182" s="85"/>
      <c r="J182" s="145"/>
      <c r="K182" s="152"/>
      <c r="L182" s="152"/>
      <c r="M182" s="145"/>
      <c r="N182" s="148"/>
    </row>
    <row r="183" spans="1:14" x14ac:dyDescent="0.25">
      <c r="A183" s="85"/>
      <c r="B183" s="85"/>
      <c r="C183" s="85"/>
      <c r="D183" s="150"/>
      <c r="E183" s="85"/>
      <c r="F183" s="85"/>
      <c r="G183" s="85"/>
      <c r="H183" s="85"/>
      <c r="I183" s="85"/>
      <c r="J183" s="145"/>
      <c r="K183" s="152"/>
      <c r="L183" s="152"/>
      <c r="M183" s="145"/>
      <c r="N183" s="148"/>
    </row>
    <row r="184" spans="1:14" x14ac:dyDescent="0.25">
      <c r="A184" s="85"/>
      <c r="B184" s="85"/>
      <c r="C184" s="85"/>
      <c r="D184" s="150"/>
      <c r="E184" s="85"/>
      <c r="F184" s="85"/>
      <c r="G184" s="85"/>
      <c r="H184" s="85"/>
      <c r="I184" s="85"/>
      <c r="J184" s="145"/>
      <c r="K184" s="152"/>
      <c r="L184" s="152"/>
      <c r="M184" s="145"/>
      <c r="N184" s="148"/>
    </row>
    <row r="185" spans="1:14" x14ac:dyDescent="0.25">
      <c r="A185" s="85"/>
      <c r="B185" s="85"/>
      <c r="C185" s="85"/>
      <c r="D185" s="150"/>
      <c r="E185" s="85"/>
      <c r="F185" s="85"/>
      <c r="G185" s="85"/>
      <c r="H185" s="85"/>
      <c r="I185" s="85"/>
      <c r="J185" s="145"/>
      <c r="K185" s="152"/>
      <c r="L185" s="152"/>
      <c r="M185" s="145"/>
      <c r="N185" s="148"/>
    </row>
    <row r="186" spans="1:14" x14ac:dyDescent="0.25">
      <c r="A186" s="85"/>
      <c r="B186" s="85"/>
      <c r="C186" s="85"/>
      <c r="D186" s="150"/>
      <c r="E186" s="85"/>
      <c r="F186" s="85"/>
      <c r="G186" s="85"/>
      <c r="H186" s="85"/>
      <c r="I186" s="85"/>
      <c r="J186" s="145"/>
      <c r="K186" s="152"/>
      <c r="L186" s="152"/>
      <c r="M186" s="145"/>
      <c r="N186" s="148"/>
    </row>
    <row r="187" spans="1:14" x14ac:dyDescent="0.25">
      <c r="A187" s="85"/>
      <c r="B187" s="85"/>
      <c r="C187" s="85"/>
      <c r="D187" s="150"/>
      <c r="E187" s="85"/>
      <c r="F187" s="85"/>
      <c r="G187" s="85"/>
      <c r="H187" s="85"/>
      <c r="I187" s="85"/>
      <c r="J187" s="145"/>
      <c r="K187" s="152"/>
      <c r="L187" s="152"/>
      <c r="M187" s="145"/>
      <c r="N187" s="148"/>
    </row>
    <row r="188" spans="1:14" x14ac:dyDescent="0.25">
      <c r="A188" s="85"/>
      <c r="B188" s="85"/>
      <c r="C188" s="85"/>
      <c r="D188" s="150"/>
      <c r="E188" s="85"/>
      <c r="F188" s="85"/>
      <c r="G188" s="85"/>
      <c r="H188" s="85"/>
      <c r="I188" s="85"/>
      <c r="J188" s="145"/>
      <c r="K188" s="152"/>
      <c r="L188" s="152"/>
      <c r="M188" s="145"/>
      <c r="N188" s="148"/>
    </row>
    <row r="189" spans="1:14" x14ac:dyDescent="0.25">
      <c r="A189" s="85"/>
      <c r="B189" s="85"/>
      <c r="C189" s="85"/>
      <c r="D189" s="150"/>
      <c r="E189" s="85"/>
      <c r="F189" s="85"/>
      <c r="G189" s="85"/>
      <c r="H189" s="85"/>
      <c r="I189" s="85"/>
      <c r="J189" s="145"/>
      <c r="K189" s="152"/>
      <c r="L189" s="152"/>
      <c r="M189" s="145"/>
      <c r="N189" s="148"/>
    </row>
    <row r="190" spans="1:14" x14ac:dyDescent="0.25">
      <c r="A190" s="85"/>
      <c r="B190" s="85"/>
      <c r="C190" s="85"/>
      <c r="D190" s="150"/>
      <c r="E190" s="85"/>
      <c r="F190" s="85"/>
      <c r="G190" s="85"/>
      <c r="H190" s="85"/>
      <c r="I190" s="85"/>
      <c r="J190" s="145"/>
      <c r="K190" s="152"/>
      <c r="L190" s="152"/>
      <c r="M190" s="145"/>
      <c r="N190" s="148"/>
    </row>
    <row r="191" spans="1:14" x14ac:dyDescent="0.25">
      <c r="A191" s="85"/>
      <c r="B191" s="85"/>
      <c r="C191" s="85"/>
      <c r="D191" s="150"/>
      <c r="E191" s="85"/>
      <c r="F191" s="85"/>
      <c r="G191" s="85"/>
      <c r="H191" s="85"/>
      <c r="I191" s="85"/>
      <c r="J191" s="145"/>
      <c r="K191" s="152"/>
      <c r="L191" s="152"/>
      <c r="M191" s="145"/>
      <c r="N191" s="148"/>
    </row>
    <row r="192" spans="1:14" x14ac:dyDescent="0.25">
      <c r="A192" s="85"/>
      <c r="B192" s="85"/>
      <c r="C192" s="85"/>
      <c r="D192" s="150"/>
      <c r="E192" s="85"/>
      <c r="F192" s="85"/>
      <c r="G192" s="85"/>
      <c r="H192" s="85"/>
      <c r="I192" s="85"/>
      <c r="J192" s="145"/>
      <c r="K192" s="152"/>
      <c r="L192" s="152"/>
      <c r="M192" s="145"/>
      <c r="N192" s="148"/>
    </row>
    <row r="193" spans="1:14" x14ac:dyDescent="0.25">
      <c r="A193" s="85"/>
      <c r="B193" s="85"/>
      <c r="C193" s="85"/>
      <c r="D193" s="150"/>
      <c r="E193" s="85"/>
      <c r="F193" s="85"/>
      <c r="G193" s="85"/>
      <c r="H193" s="85"/>
      <c r="I193" s="85"/>
      <c r="J193" s="145"/>
      <c r="K193" s="152"/>
      <c r="L193" s="152"/>
      <c r="M193" s="145"/>
      <c r="N193" s="148"/>
    </row>
    <row r="194" spans="1:14" x14ac:dyDescent="0.25">
      <c r="A194" s="85"/>
      <c r="B194" s="85"/>
      <c r="C194" s="85"/>
      <c r="D194" s="150"/>
      <c r="E194" s="85"/>
      <c r="F194" s="85"/>
      <c r="G194" s="85"/>
      <c r="H194" s="85"/>
      <c r="I194" s="85"/>
      <c r="J194" s="145"/>
      <c r="K194" s="152"/>
      <c r="L194" s="152"/>
      <c r="M194" s="145"/>
      <c r="N194" s="148"/>
    </row>
    <row r="195" spans="1:14" x14ac:dyDescent="0.25">
      <c r="A195" s="85"/>
      <c r="B195" s="85"/>
      <c r="C195" s="85"/>
      <c r="D195" s="150"/>
      <c r="E195" s="85"/>
      <c r="F195" s="85"/>
      <c r="G195" s="85"/>
      <c r="H195" s="85"/>
      <c r="I195" s="85"/>
      <c r="J195" s="145"/>
      <c r="K195" s="152"/>
      <c r="L195" s="152"/>
      <c r="M195" s="145"/>
      <c r="N195" s="148"/>
    </row>
    <row r="196" spans="1:14" x14ac:dyDescent="0.25">
      <c r="A196" s="85"/>
      <c r="B196" s="85"/>
      <c r="C196" s="85"/>
      <c r="D196" s="150"/>
      <c r="E196" s="85"/>
      <c r="F196" s="85"/>
      <c r="G196" s="85"/>
      <c r="H196" s="85"/>
      <c r="I196" s="85"/>
      <c r="J196" s="145"/>
      <c r="K196" s="152"/>
      <c r="L196" s="152"/>
      <c r="M196" s="145"/>
      <c r="N196" s="148"/>
    </row>
    <row r="197" spans="1:14" x14ac:dyDescent="0.25">
      <c r="A197" s="85"/>
      <c r="B197" s="85"/>
      <c r="C197" s="85"/>
      <c r="D197" s="150"/>
      <c r="E197" s="85"/>
      <c r="F197" s="85"/>
      <c r="G197" s="85"/>
      <c r="H197" s="85"/>
      <c r="I197" s="85"/>
      <c r="J197" s="145"/>
      <c r="K197" s="152"/>
      <c r="L197" s="152"/>
      <c r="M197" s="145"/>
      <c r="N197" s="148"/>
    </row>
    <row r="198" spans="1:14" x14ac:dyDescent="0.25">
      <c r="A198" s="85"/>
      <c r="B198" s="85"/>
      <c r="C198" s="85"/>
      <c r="D198" s="150"/>
      <c r="E198" s="85"/>
      <c r="F198" s="85"/>
      <c r="G198" s="85"/>
      <c r="H198" s="85"/>
      <c r="I198" s="85"/>
      <c r="J198" s="145"/>
      <c r="K198" s="152"/>
      <c r="L198" s="152"/>
      <c r="M198" s="145"/>
      <c r="N198" s="148"/>
    </row>
    <row r="199" spans="1:14" x14ac:dyDescent="0.25">
      <c r="A199" s="85"/>
      <c r="B199" s="85"/>
      <c r="C199" s="85"/>
      <c r="D199" s="150"/>
      <c r="E199" s="85"/>
      <c r="F199" s="85"/>
      <c r="G199" s="85"/>
      <c r="H199" s="85"/>
      <c r="I199" s="85"/>
      <c r="J199" s="145"/>
      <c r="K199" s="152"/>
      <c r="L199" s="152"/>
      <c r="M199" s="145"/>
      <c r="N199" s="148"/>
    </row>
    <row r="200" spans="1:14" x14ac:dyDescent="0.25">
      <c r="A200" s="85"/>
      <c r="B200" s="85"/>
      <c r="C200" s="85"/>
      <c r="D200" s="150"/>
      <c r="E200" s="85"/>
      <c r="F200" s="85"/>
      <c r="G200" s="85"/>
      <c r="H200" s="85"/>
      <c r="I200" s="85"/>
      <c r="J200" s="145"/>
      <c r="K200" s="152"/>
      <c r="L200" s="152"/>
      <c r="M200" s="145"/>
      <c r="N200" s="148"/>
    </row>
    <row r="201" spans="1:14" x14ac:dyDescent="0.25">
      <c r="A201" s="85"/>
      <c r="B201" s="85"/>
      <c r="C201" s="85"/>
      <c r="D201" s="150"/>
      <c r="E201" s="85"/>
      <c r="F201" s="85"/>
      <c r="G201" s="85"/>
      <c r="H201" s="85"/>
      <c r="I201" s="85"/>
      <c r="J201" s="145"/>
      <c r="K201" s="152"/>
      <c r="L201" s="152"/>
      <c r="M201" s="145"/>
      <c r="N201" s="148"/>
    </row>
    <row r="202" spans="1:14" x14ac:dyDescent="0.25">
      <c r="A202" s="85"/>
      <c r="B202" s="85"/>
      <c r="C202" s="85"/>
      <c r="D202" s="150"/>
      <c r="E202" s="85"/>
      <c r="F202" s="85"/>
      <c r="G202" s="85"/>
      <c r="H202" s="85"/>
      <c r="I202" s="85"/>
      <c r="J202" s="145"/>
      <c r="K202" s="152"/>
      <c r="L202" s="152"/>
      <c r="M202" s="145"/>
      <c r="N202" s="148"/>
    </row>
    <row r="203" spans="1:14" x14ac:dyDescent="0.25">
      <c r="A203" s="85"/>
      <c r="B203" s="85"/>
      <c r="C203" s="85"/>
      <c r="D203" s="150"/>
      <c r="E203" s="85"/>
      <c r="F203" s="85"/>
      <c r="G203" s="85"/>
      <c r="H203" s="85"/>
      <c r="I203" s="85"/>
      <c r="J203" s="145"/>
      <c r="K203" s="152"/>
      <c r="L203" s="152"/>
      <c r="M203" s="145"/>
      <c r="N203" s="148"/>
    </row>
    <row r="204" spans="1:14" x14ac:dyDescent="0.25">
      <c r="A204" s="85"/>
      <c r="B204" s="85"/>
      <c r="C204" s="85"/>
      <c r="D204" s="150"/>
      <c r="E204" s="85"/>
      <c r="F204" s="85"/>
      <c r="G204" s="85"/>
      <c r="H204" s="85"/>
      <c r="I204" s="85"/>
      <c r="J204" s="145"/>
      <c r="K204" s="152"/>
      <c r="L204" s="152"/>
      <c r="M204" s="145"/>
      <c r="N204" s="148"/>
    </row>
    <row r="205" spans="1:14" x14ac:dyDescent="0.25">
      <c r="A205" s="85"/>
      <c r="B205" s="85"/>
      <c r="C205" s="85"/>
      <c r="D205" s="150"/>
      <c r="E205" s="85"/>
      <c r="F205" s="85"/>
      <c r="G205" s="85"/>
      <c r="H205" s="85"/>
      <c r="I205" s="85"/>
      <c r="J205" s="145"/>
      <c r="K205" s="152"/>
      <c r="L205" s="152"/>
      <c r="M205" s="145"/>
      <c r="N205" s="148"/>
    </row>
    <row r="206" spans="1:14" x14ac:dyDescent="0.25">
      <c r="A206" s="85"/>
      <c r="B206" s="85"/>
      <c r="C206" s="85"/>
      <c r="D206" s="150"/>
      <c r="E206" s="85"/>
      <c r="F206" s="85"/>
      <c r="G206" s="85"/>
      <c r="H206" s="85"/>
      <c r="I206" s="85"/>
      <c r="J206" s="145"/>
      <c r="K206" s="152"/>
      <c r="L206" s="152"/>
      <c r="M206" s="145"/>
      <c r="N206" s="148"/>
    </row>
    <row r="207" spans="1:14" x14ac:dyDescent="0.25">
      <c r="A207" s="85"/>
      <c r="B207" s="85"/>
      <c r="C207" s="85"/>
      <c r="D207" s="150"/>
      <c r="E207" s="85"/>
      <c r="F207" s="85"/>
      <c r="G207" s="85"/>
      <c r="H207" s="85"/>
      <c r="I207" s="85"/>
      <c r="J207" s="145"/>
      <c r="K207" s="152"/>
      <c r="L207" s="152"/>
      <c r="M207" s="145"/>
      <c r="N207" s="148"/>
    </row>
    <row r="208" spans="1:14" x14ac:dyDescent="0.25">
      <c r="A208" s="85"/>
      <c r="B208" s="85"/>
      <c r="C208" s="85"/>
      <c r="D208" s="150"/>
      <c r="E208" s="85"/>
      <c r="F208" s="85"/>
      <c r="G208" s="85"/>
      <c r="H208" s="85"/>
      <c r="I208" s="85"/>
      <c r="J208" s="145"/>
      <c r="K208" s="152"/>
      <c r="L208" s="152"/>
      <c r="M208" s="145"/>
      <c r="N208" s="148"/>
    </row>
    <row r="209" spans="1:14" x14ac:dyDescent="0.25">
      <c r="A209" s="85"/>
      <c r="B209" s="85"/>
      <c r="C209" s="85"/>
      <c r="D209" s="150"/>
      <c r="E209" s="85"/>
      <c r="F209" s="85"/>
      <c r="G209" s="85"/>
      <c r="H209" s="85"/>
      <c r="I209" s="85"/>
      <c r="J209" s="145"/>
      <c r="K209" s="152"/>
      <c r="L209" s="152"/>
      <c r="M209" s="145"/>
      <c r="N209" s="148"/>
    </row>
    <row r="210" spans="1:14" x14ac:dyDescent="0.25">
      <c r="A210" s="85"/>
      <c r="B210" s="85"/>
      <c r="C210" s="85"/>
      <c r="D210" s="150"/>
      <c r="E210" s="85"/>
      <c r="F210" s="85"/>
      <c r="G210" s="85"/>
      <c r="H210" s="85"/>
      <c r="I210" s="85"/>
      <c r="J210" s="145"/>
      <c r="K210" s="152"/>
      <c r="L210" s="152"/>
      <c r="M210" s="145"/>
      <c r="N210" s="148"/>
    </row>
    <row r="211" spans="1:14" x14ac:dyDescent="0.25">
      <c r="A211" s="85"/>
      <c r="B211" s="85"/>
      <c r="C211" s="85"/>
      <c r="D211" s="150"/>
      <c r="E211" s="85"/>
      <c r="F211" s="85"/>
      <c r="G211" s="85"/>
      <c r="H211" s="85"/>
      <c r="I211" s="85"/>
      <c r="J211" s="145"/>
      <c r="K211" s="152"/>
      <c r="L211" s="152"/>
      <c r="M211" s="145"/>
      <c r="N211" s="148"/>
    </row>
    <row r="212" spans="1:14" x14ac:dyDescent="0.25">
      <c r="A212" s="85"/>
      <c r="B212" s="85"/>
      <c r="C212" s="85"/>
      <c r="D212" s="150"/>
      <c r="E212" s="85"/>
      <c r="F212" s="85"/>
      <c r="G212" s="85"/>
      <c r="H212" s="85"/>
      <c r="I212" s="85"/>
      <c r="J212" s="145"/>
      <c r="K212" s="152"/>
      <c r="L212" s="152"/>
      <c r="M212" s="145"/>
      <c r="N212" s="148"/>
    </row>
    <row r="213" spans="1:14" x14ac:dyDescent="0.25">
      <c r="A213" s="85"/>
      <c r="B213" s="85"/>
      <c r="C213" s="85"/>
      <c r="D213" s="150"/>
      <c r="E213" s="85"/>
      <c r="F213" s="85"/>
      <c r="G213" s="85"/>
      <c r="H213" s="85"/>
      <c r="I213" s="85"/>
      <c r="J213" s="145"/>
      <c r="K213" s="152"/>
      <c r="L213" s="152"/>
      <c r="M213" s="145"/>
      <c r="N213" s="148"/>
    </row>
    <row r="214" spans="1:14" x14ac:dyDescent="0.25">
      <c r="A214" s="85"/>
      <c r="B214" s="85"/>
      <c r="C214" s="85"/>
      <c r="D214" s="150"/>
      <c r="E214" s="85"/>
      <c r="F214" s="85"/>
      <c r="G214" s="85"/>
      <c r="H214" s="85"/>
      <c r="I214" s="85"/>
      <c r="J214" s="145"/>
      <c r="K214" s="152"/>
      <c r="L214" s="152"/>
      <c r="M214" s="145"/>
      <c r="N214" s="148"/>
    </row>
    <row r="215" spans="1:14" x14ac:dyDescent="0.25">
      <c r="A215" s="85"/>
      <c r="B215" s="85"/>
      <c r="C215" s="85"/>
      <c r="D215" s="150"/>
      <c r="E215" s="85"/>
      <c r="F215" s="85"/>
      <c r="G215" s="85"/>
      <c r="H215" s="85"/>
      <c r="I215" s="85"/>
      <c r="J215" s="145"/>
      <c r="K215" s="152"/>
      <c r="L215" s="152"/>
      <c r="M215" s="145"/>
      <c r="N215" s="148"/>
    </row>
    <row r="216" spans="1:14" x14ac:dyDescent="0.25">
      <c r="A216" s="85"/>
      <c r="B216" s="85"/>
      <c r="C216" s="85"/>
      <c r="D216" s="150"/>
      <c r="E216" s="85"/>
      <c r="F216" s="85"/>
      <c r="G216" s="85"/>
      <c r="H216" s="85"/>
      <c r="I216" s="85"/>
      <c r="J216" s="145"/>
      <c r="K216" s="152"/>
      <c r="L216" s="152"/>
      <c r="M216" s="145"/>
      <c r="N216" s="148"/>
    </row>
    <row r="217" spans="1:14" x14ac:dyDescent="0.25">
      <c r="A217" s="85"/>
      <c r="B217" s="85"/>
      <c r="C217" s="85"/>
      <c r="D217" s="150"/>
      <c r="E217" s="85"/>
      <c r="F217" s="85"/>
      <c r="G217" s="85"/>
      <c r="H217" s="85"/>
      <c r="I217" s="85"/>
      <c r="J217" s="145"/>
      <c r="K217" s="152"/>
      <c r="L217" s="152"/>
      <c r="M217" s="145"/>
      <c r="N217" s="148"/>
    </row>
    <row r="218" spans="1:14" x14ac:dyDescent="0.25">
      <c r="A218" s="85"/>
      <c r="B218" s="85"/>
      <c r="C218" s="85"/>
      <c r="D218" s="150"/>
      <c r="E218" s="85"/>
      <c r="F218" s="85"/>
      <c r="G218" s="85"/>
      <c r="H218" s="85"/>
      <c r="I218" s="85"/>
      <c r="J218" s="145"/>
      <c r="K218" s="152"/>
      <c r="L218" s="152"/>
      <c r="M218" s="145"/>
      <c r="N218" s="148"/>
    </row>
    <row r="219" spans="1:14" x14ac:dyDescent="0.25">
      <c r="A219" s="85"/>
      <c r="B219" s="85"/>
      <c r="C219" s="85"/>
      <c r="D219" s="150"/>
      <c r="E219" s="85"/>
      <c r="F219" s="85"/>
      <c r="G219" s="85"/>
      <c r="H219" s="85"/>
      <c r="I219" s="85"/>
      <c r="J219" s="145"/>
      <c r="K219" s="152"/>
      <c r="L219" s="152"/>
      <c r="M219" s="145"/>
      <c r="N219" s="148"/>
    </row>
    <row r="220" spans="1:14" x14ac:dyDescent="0.25">
      <c r="A220" s="85"/>
      <c r="B220" s="85"/>
      <c r="C220" s="85"/>
      <c r="D220" s="150"/>
      <c r="E220" s="85"/>
      <c r="F220" s="85"/>
      <c r="G220" s="85"/>
      <c r="H220" s="85"/>
      <c r="I220" s="85"/>
      <c r="J220" s="145"/>
      <c r="K220" s="152"/>
      <c r="L220" s="152"/>
      <c r="M220" s="145"/>
      <c r="N220" s="148"/>
    </row>
    <row r="221" spans="1:14" x14ac:dyDescent="0.25">
      <c r="A221" s="85"/>
      <c r="B221" s="85"/>
      <c r="C221" s="85"/>
      <c r="D221" s="150"/>
      <c r="E221" s="85"/>
      <c r="F221" s="85"/>
      <c r="G221" s="85"/>
      <c r="H221" s="85"/>
      <c r="I221" s="85"/>
      <c r="J221" s="145"/>
      <c r="K221" s="152"/>
      <c r="L221" s="152"/>
      <c r="M221" s="145"/>
      <c r="N221" s="148"/>
    </row>
    <row r="222" spans="1:14" x14ac:dyDescent="0.25">
      <c r="A222" s="85"/>
      <c r="B222" s="85"/>
      <c r="C222" s="85"/>
      <c r="D222" s="150"/>
      <c r="E222" s="85"/>
      <c r="F222" s="85"/>
      <c r="G222" s="85"/>
      <c r="H222" s="85"/>
      <c r="I222" s="85"/>
      <c r="J222" s="145"/>
      <c r="K222" s="152"/>
      <c r="L222" s="152"/>
      <c r="M222" s="145"/>
      <c r="N222" s="148"/>
    </row>
    <row r="223" spans="1:14" x14ac:dyDescent="0.25">
      <c r="A223" s="85"/>
      <c r="B223" s="85"/>
      <c r="C223" s="85"/>
      <c r="D223" s="150"/>
      <c r="E223" s="85"/>
      <c r="F223" s="85"/>
      <c r="G223" s="85"/>
      <c r="H223" s="85"/>
      <c r="I223" s="85"/>
      <c r="J223" s="145"/>
      <c r="K223" s="152"/>
      <c r="L223" s="152"/>
      <c r="M223" s="145"/>
      <c r="N223" s="148"/>
    </row>
    <row r="224" spans="1:14" x14ac:dyDescent="0.25">
      <c r="A224" s="85"/>
      <c r="B224" s="85"/>
      <c r="C224" s="85"/>
      <c r="D224" s="150"/>
      <c r="E224" s="85"/>
      <c r="F224" s="85"/>
      <c r="G224" s="85"/>
      <c r="H224" s="85"/>
      <c r="I224" s="85"/>
      <c r="J224" s="145"/>
      <c r="K224" s="152"/>
      <c r="L224" s="152"/>
      <c r="M224" s="145"/>
      <c r="N224" s="148"/>
    </row>
    <row r="225" spans="1:14" x14ac:dyDescent="0.25">
      <c r="A225" s="85"/>
      <c r="B225" s="85"/>
      <c r="C225" s="85"/>
      <c r="D225" s="150"/>
      <c r="E225" s="85"/>
      <c r="F225" s="85"/>
      <c r="G225" s="85"/>
      <c r="H225" s="85"/>
      <c r="I225" s="85"/>
      <c r="J225" s="145"/>
      <c r="K225" s="152"/>
      <c r="L225" s="152"/>
      <c r="M225" s="145"/>
      <c r="N225" s="148"/>
    </row>
    <row r="226" spans="1:14" x14ac:dyDescent="0.25">
      <c r="A226" s="85"/>
      <c r="B226" s="85"/>
      <c r="C226" s="85"/>
      <c r="D226" s="150"/>
      <c r="E226" s="85"/>
      <c r="F226" s="85"/>
      <c r="G226" s="85"/>
      <c r="H226" s="85"/>
      <c r="I226" s="85"/>
      <c r="J226" s="145"/>
      <c r="K226" s="152"/>
      <c r="L226" s="152"/>
      <c r="M226" s="145"/>
      <c r="N226" s="148"/>
    </row>
    <row r="227" spans="1:14" x14ac:dyDescent="0.25">
      <c r="A227" s="85"/>
      <c r="B227" s="85"/>
      <c r="C227" s="85"/>
      <c r="D227" s="150"/>
      <c r="E227" s="85"/>
      <c r="F227" s="85"/>
      <c r="G227" s="85"/>
      <c r="H227" s="85"/>
      <c r="I227" s="85"/>
      <c r="J227" s="145"/>
      <c r="K227" s="152"/>
      <c r="L227" s="152"/>
      <c r="M227" s="145"/>
      <c r="N227" s="148"/>
    </row>
    <row r="228" spans="1:14" x14ac:dyDescent="0.25">
      <c r="A228" s="85"/>
      <c r="B228" s="85"/>
      <c r="C228" s="85"/>
      <c r="D228" s="150"/>
      <c r="E228" s="85"/>
      <c r="F228" s="85"/>
      <c r="G228" s="85"/>
      <c r="H228" s="85"/>
      <c r="I228" s="85"/>
      <c r="J228" s="145"/>
      <c r="K228" s="152"/>
      <c r="L228" s="152"/>
      <c r="M228" s="145"/>
      <c r="N228" s="148"/>
    </row>
    <row r="229" spans="1:14" x14ac:dyDescent="0.25">
      <c r="A229" s="85"/>
      <c r="B229" s="85"/>
      <c r="C229" s="85"/>
      <c r="D229" s="150"/>
      <c r="E229" s="85"/>
      <c r="F229" s="85"/>
      <c r="G229" s="85"/>
      <c r="H229" s="85"/>
      <c r="I229" s="85"/>
      <c r="J229" s="145"/>
      <c r="K229" s="152"/>
      <c r="L229" s="152"/>
      <c r="M229" s="145"/>
      <c r="N229" s="148"/>
    </row>
    <row r="230" spans="1:14" x14ac:dyDescent="0.25">
      <c r="D230" s="147"/>
      <c r="F230" s="1"/>
      <c r="J230" s="145"/>
      <c r="K230" s="149"/>
      <c r="L230" s="149"/>
      <c r="M230" s="146"/>
      <c r="N230" s="148"/>
    </row>
    <row r="231" spans="1:14" x14ac:dyDescent="0.25">
      <c r="D231" s="147"/>
      <c r="F231" s="1"/>
      <c r="J231" s="145"/>
      <c r="K231" s="149"/>
      <c r="L231" s="149"/>
      <c r="M231" s="146"/>
      <c r="N231" s="148"/>
    </row>
    <row r="232" spans="1:14" x14ac:dyDescent="0.25">
      <c r="D232" s="147"/>
      <c r="F232" s="1"/>
      <c r="J232" s="145"/>
      <c r="K232" s="149"/>
      <c r="L232" s="149"/>
      <c r="M232" s="146"/>
      <c r="N232" s="148"/>
    </row>
    <row r="233" spans="1:14" x14ac:dyDescent="0.25">
      <c r="D233" s="147"/>
      <c r="F233" s="1"/>
      <c r="J233" s="145"/>
      <c r="K233" s="149"/>
      <c r="L233" s="149"/>
      <c r="M233" s="146"/>
      <c r="N233" s="148"/>
    </row>
    <row r="234" spans="1:14" x14ac:dyDescent="0.25">
      <c r="D234" s="147"/>
      <c r="F234" s="1"/>
      <c r="J234" s="145"/>
      <c r="K234" s="149"/>
      <c r="L234" s="149"/>
      <c r="M234" s="146"/>
      <c r="N234" s="148"/>
    </row>
    <row r="235" spans="1:14" x14ac:dyDescent="0.25">
      <c r="D235" s="147"/>
      <c r="F235" s="1"/>
      <c r="J235" s="145"/>
      <c r="K235" s="149"/>
      <c r="L235" s="149"/>
      <c r="M235" s="146"/>
      <c r="N235" s="148"/>
    </row>
    <row r="236" spans="1:14" x14ac:dyDescent="0.25">
      <c r="D236" s="147"/>
      <c r="F236" s="1"/>
      <c r="J236" s="145"/>
      <c r="K236" s="149"/>
      <c r="L236" s="149"/>
      <c r="M236" s="146"/>
      <c r="N236" s="148"/>
    </row>
    <row r="237" spans="1:14" x14ac:dyDescent="0.25">
      <c r="D237" s="147"/>
      <c r="F237" s="1"/>
      <c r="J237" s="145"/>
      <c r="K237" s="149"/>
      <c r="L237" s="149"/>
      <c r="M237" s="146"/>
      <c r="N237" s="148"/>
    </row>
    <row r="238" spans="1:14" x14ac:dyDescent="0.25">
      <c r="D238" s="147"/>
      <c r="F238" s="1"/>
      <c r="J238" s="145"/>
      <c r="K238" s="149"/>
      <c r="L238" s="149"/>
      <c r="M238" s="146"/>
      <c r="N238" s="148"/>
    </row>
    <row r="239" spans="1:14" x14ac:dyDescent="0.25">
      <c r="D239" s="147"/>
      <c r="F239" s="1"/>
      <c r="J239" s="145"/>
      <c r="K239" s="149"/>
      <c r="L239" s="149"/>
      <c r="M239" s="146"/>
      <c r="N239" s="148"/>
    </row>
    <row r="240" spans="1:14" x14ac:dyDescent="0.25">
      <c r="D240" s="147"/>
      <c r="F240" s="1"/>
      <c r="J240" s="145"/>
      <c r="K240" s="149"/>
      <c r="L240" s="149"/>
      <c r="M240" s="146"/>
      <c r="N240" s="148"/>
    </row>
    <row r="241" spans="4:14" x14ac:dyDescent="0.25">
      <c r="D241" s="147"/>
      <c r="F241" s="1"/>
      <c r="J241" s="145"/>
      <c r="K241" s="149"/>
      <c r="L241" s="149"/>
      <c r="M241" s="146"/>
      <c r="N241" s="148"/>
    </row>
    <row r="242" spans="4:14" x14ac:dyDescent="0.25">
      <c r="D242" s="147"/>
      <c r="F242" s="1"/>
      <c r="J242" s="145"/>
      <c r="K242" s="149"/>
      <c r="L242" s="149"/>
      <c r="M242" s="146"/>
      <c r="N242" s="148"/>
    </row>
    <row r="243" spans="4:14" x14ac:dyDescent="0.25">
      <c r="D243" s="147"/>
      <c r="F243" s="1"/>
      <c r="J243" s="145"/>
      <c r="K243" s="149"/>
      <c r="L243" s="149"/>
      <c r="M243" s="146"/>
      <c r="N243" s="148"/>
    </row>
    <row r="244" spans="4:14" x14ac:dyDescent="0.25">
      <c r="D244" s="147"/>
      <c r="F244" s="1"/>
      <c r="J244" s="145"/>
      <c r="K244" s="149"/>
      <c r="L244" s="149"/>
      <c r="M244" s="146"/>
      <c r="N244" s="148"/>
    </row>
    <row r="245" spans="4:14" x14ac:dyDescent="0.25">
      <c r="D245" s="147"/>
      <c r="F245" s="1"/>
      <c r="J245" s="145"/>
      <c r="K245" s="149"/>
      <c r="L245" s="149"/>
      <c r="M245" s="146"/>
      <c r="N245" s="148"/>
    </row>
    <row r="246" spans="4:14" x14ac:dyDescent="0.25">
      <c r="D246" s="147"/>
      <c r="F246" s="1"/>
      <c r="J246" s="145"/>
      <c r="K246" s="149"/>
      <c r="L246" s="149"/>
      <c r="M246" s="146"/>
      <c r="N246" s="148"/>
    </row>
    <row r="247" spans="4:14" x14ac:dyDescent="0.25">
      <c r="D247" s="147"/>
      <c r="F247" s="1"/>
      <c r="J247" s="145"/>
      <c r="K247" s="149"/>
      <c r="L247" s="149"/>
      <c r="M247" s="146"/>
      <c r="N247" s="148"/>
    </row>
    <row r="248" spans="4:14" x14ac:dyDescent="0.25">
      <c r="D248" s="147"/>
      <c r="F248" s="1"/>
      <c r="J248" s="145"/>
      <c r="K248" s="149"/>
      <c r="L248" s="149"/>
      <c r="M248" s="146"/>
      <c r="N248" s="148"/>
    </row>
    <row r="249" spans="4:14" x14ac:dyDescent="0.25">
      <c r="D249" s="147"/>
      <c r="F249" s="1"/>
      <c r="J249" s="145"/>
      <c r="K249" s="149"/>
      <c r="L249" s="149"/>
      <c r="M249" s="146"/>
      <c r="N249" s="148"/>
    </row>
    <row r="250" spans="4:14" x14ac:dyDescent="0.25">
      <c r="D250" s="147"/>
      <c r="F250" s="1"/>
      <c r="J250" s="145"/>
      <c r="K250" s="149"/>
      <c r="L250" s="149"/>
      <c r="M250" s="146"/>
      <c r="N250" s="148"/>
    </row>
    <row r="251" spans="4:14" x14ac:dyDescent="0.25">
      <c r="D251" s="147"/>
      <c r="F251" s="1"/>
      <c r="J251" s="145"/>
      <c r="K251" s="149"/>
      <c r="L251" s="149"/>
      <c r="M251" s="146"/>
      <c r="N251" s="148"/>
    </row>
    <row r="252" spans="4:14" x14ac:dyDescent="0.25">
      <c r="D252" s="147"/>
      <c r="F252" s="1"/>
      <c r="J252" s="145"/>
      <c r="K252" s="149"/>
      <c r="L252" s="149"/>
      <c r="M252" s="146"/>
      <c r="N252" s="148"/>
    </row>
    <row r="253" spans="4:14" x14ac:dyDescent="0.25">
      <c r="D253" s="147"/>
      <c r="F253" s="1"/>
      <c r="J253" s="145"/>
      <c r="K253" s="149"/>
      <c r="L253" s="149"/>
      <c r="M253" s="146"/>
      <c r="N253" s="148"/>
    </row>
    <row r="254" spans="4:14" x14ac:dyDescent="0.25">
      <c r="D254" s="147"/>
      <c r="F254" s="1"/>
      <c r="J254" s="145"/>
      <c r="K254" s="149"/>
      <c r="L254" s="149"/>
      <c r="M254" s="146"/>
      <c r="N254" s="148"/>
    </row>
    <row r="255" spans="4:14" x14ac:dyDescent="0.25">
      <c r="D255" s="147"/>
      <c r="F255" s="1"/>
      <c r="J255" s="145"/>
      <c r="K255" s="149"/>
      <c r="L255" s="149"/>
      <c r="M255" s="146"/>
      <c r="N255" s="148"/>
    </row>
    <row r="256" spans="4:14" x14ac:dyDescent="0.25">
      <c r="D256" s="147"/>
      <c r="F256" s="1"/>
      <c r="J256" s="145"/>
      <c r="K256" s="149"/>
      <c r="L256" s="149"/>
      <c r="M256" s="146"/>
      <c r="N256" s="148"/>
    </row>
    <row r="257" spans="4:14" x14ac:dyDescent="0.25">
      <c r="D257" s="147"/>
      <c r="F257" s="1"/>
      <c r="J257" s="145"/>
      <c r="K257" s="149"/>
      <c r="L257" s="149"/>
      <c r="M257" s="146"/>
      <c r="N257" s="148"/>
    </row>
    <row r="258" spans="4:14" x14ac:dyDescent="0.25">
      <c r="D258" s="147"/>
      <c r="F258" s="1"/>
      <c r="J258" s="145"/>
      <c r="K258" s="149"/>
      <c r="L258" s="149"/>
      <c r="M258" s="146"/>
      <c r="N258" s="148"/>
    </row>
    <row r="259" spans="4:14" x14ac:dyDescent="0.25">
      <c r="D259" s="147"/>
      <c r="F259" s="1"/>
      <c r="J259" s="145"/>
      <c r="K259" s="149"/>
      <c r="L259" s="149"/>
      <c r="M259" s="146"/>
      <c r="N259" s="148"/>
    </row>
    <row r="260" spans="4:14" x14ac:dyDescent="0.25">
      <c r="D260" s="147"/>
      <c r="F260" s="1"/>
      <c r="J260" s="145"/>
      <c r="K260" s="149"/>
      <c r="L260" s="149"/>
      <c r="M260" s="146"/>
      <c r="N260" s="148"/>
    </row>
    <row r="261" spans="4:14" x14ac:dyDescent="0.25">
      <c r="D261" s="147"/>
      <c r="F261" s="1"/>
      <c r="J261" s="145"/>
      <c r="K261" s="149"/>
      <c r="L261" s="149"/>
      <c r="M261" s="146"/>
      <c r="N261" s="148"/>
    </row>
    <row r="262" spans="4:14" x14ac:dyDescent="0.25">
      <c r="D262" s="147"/>
      <c r="F262" s="1"/>
      <c r="J262" s="145"/>
      <c r="K262" s="149"/>
      <c r="L262" s="149"/>
      <c r="M262" s="146"/>
      <c r="N262" s="148"/>
    </row>
    <row r="263" spans="4:14" x14ac:dyDescent="0.25">
      <c r="D263" s="147"/>
      <c r="F263" s="1"/>
      <c r="J263" s="145"/>
      <c r="K263" s="149"/>
      <c r="L263" s="149"/>
      <c r="M263" s="146"/>
      <c r="N263" s="148"/>
    </row>
    <row r="264" spans="4:14" x14ac:dyDescent="0.25">
      <c r="D264" s="147"/>
      <c r="F264" s="1"/>
      <c r="J264" s="145"/>
      <c r="K264" s="149"/>
      <c r="L264" s="149"/>
      <c r="M264" s="146"/>
      <c r="N264" s="148"/>
    </row>
    <row r="265" spans="4:14" x14ac:dyDescent="0.25">
      <c r="D265" s="147"/>
      <c r="F265" s="1"/>
      <c r="J265" s="145"/>
      <c r="K265" s="149"/>
      <c r="L265" s="149"/>
      <c r="M265" s="146"/>
      <c r="N265" s="148"/>
    </row>
    <row r="266" spans="4:14" x14ac:dyDescent="0.25">
      <c r="D266" s="147"/>
      <c r="F266" s="1"/>
      <c r="J266" s="145"/>
      <c r="K266" s="149"/>
      <c r="L266" s="149"/>
      <c r="M266" s="146"/>
      <c r="N266" s="148"/>
    </row>
    <row r="267" spans="4:14" x14ac:dyDescent="0.25">
      <c r="D267" s="147"/>
      <c r="F267" s="1"/>
      <c r="J267" s="145"/>
      <c r="K267" s="149"/>
      <c r="L267" s="149"/>
      <c r="M267" s="146"/>
      <c r="N267" s="148"/>
    </row>
    <row r="268" spans="4:14" x14ac:dyDescent="0.25">
      <c r="D268" s="147"/>
      <c r="F268" s="1"/>
      <c r="J268" s="145"/>
      <c r="K268" s="149"/>
      <c r="L268" s="149"/>
      <c r="M268" s="146"/>
      <c r="N268" s="148"/>
    </row>
    <row r="269" spans="4:14" x14ac:dyDescent="0.25">
      <c r="D269" s="147"/>
      <c r="F269" s="1"/>
      <c r="J269" s="145"/>
      <c r="K269" s="149"/>
      <c r="L269" s="149"/>
      <c r="M269" s="146"/>
      <c r="N269" s="148"/>
    </row>
    <row r="270" spans="4:14" x14ac:dyDescent="0.25">
      <c r="D270" s="147"/>
      <c r="F270" s="1"/>
      <c r="J270" s="145"/>
      <c r="K270" s="149"/>
      <c r="L270" s="149"/>
      <c r="M270" s="146"/>
      <c r="N270" s="148"/>
    </row>
    <row r="271" spans="4:14" x14ac:dyDescent="0.25">
      <c r="D271" s="147"/>
      <c r="F271" s="1"/>
      <c r="J271" s="145"/>
      <c r="K271" s="149"/>
      <c r="L271" s="149"/>
      <c r="M271" s="146"/>
      <c r="N271" s="148"/>
    </row>
    <row r="272" spans="4:14" x14ac:dyDescent="0.25">
      <c r="D272" s="147"/>
      <c r="F272" s="1"/>
      <c r="J272" s="145"/>
      <c r="K272" s="149"/>
      <c r="L272" s="149"/>
      <c r="M272" s="146"/>
      <c r="N272" s="148"/>
    </row>
    <row r="273" spans="4:14" x14ac:dyDescent="0.25">
      <c r="D273" s="147"/>
      <c r="F273" s="1"/>
      <c r="J273" s="145"/>
      <c r="K273" s="149"/>
      <c r="L273" s="149"/>
      <c r="M273" s="146"/>
      <c r="N273" s="148"/>
    </row>
    <row r="274" spans="4:14" x14ac:dyDescent="0.25">
      <c r="D274" s="147"/>
      <c r="F274" s="1"/>
      <c r="J274" s="145"/>
      <c r="K274" s="149"/>
      <c r="L274" s="149"/>
      <c r="M274" s="146"/>
      <c r="N274" s="148"/>
    </row>
    <row r="275" spans="4:14" x14ac:dyDescent="0.25">
      <c r="D275" s="147"/>
      <c r="F275" s="1"/>
      <c r="J275" s="145"/>
      <c r="K275" s="149"/>
      <c r="L275" s="149"/>
      <c r="M275" s="146"/>
      <c r="N275" s="148"/>
    </row>
    <row r="276" spans="4:14" x14ac:dyDescent="0.25">
      <c r="D276" s="147"/>
      <c r="F276" s="1"/>
      <c r="J276" s="145"/>
      <c r="K276" s="149"/>
      <c r="L276" s="149"/>
      <c r="M276" s="146"/>
      <c r="N276" s="148"/>
    </row>
    <row r="277" spans="4:14" x14ac:dyDescent="0.25">
      <c r="D277" s="147"/>
      <c r="F277" s="1"/>
      <c r="J277" s="145"/>
      <c r="K277" s="149"/>
      <c r="L277" s="149"/>
      <c r="M277" s="146"/>
      <c r="N277" s="148"/>
    </row>
    <row r="278" spans="4:14" x14ac:dyDescent="0.25">
      <c r="D278" s="147"/>
      <c r="F278" s="1"/>
      <c r="J278" s="145"/>
      <c r="K278" s="149"/>
      <c r="L278" s="149"/>
      <c r="M278" s="146"/>
      <c r="N278" s="148"/>
    </row>
    <row r="279" spans="4:14" x14ac:dyDescent="0.25">
      <c r="D279" s="147"/>
      <c r="F279" s="1"/>
      <c r="J279" s="145"/>
      <c r="K279" s="149"/>
      <c r="L279" s="149"/>
      <c r="M279" s="146"/>
      <c r="N279" s="148"/>
    </row>
    <row r="280" spans="4:14" x14ac:dyDescent="0.25">
      <c r="D280" s="147"/>
      <c r="F280" s="1"/>
      <c r="J280" s="145"/>
      <c r="K280" s="149"/>
      <c r="L280" s="149"/>
      <c r="M280" s="146"/>
      <c r="N280" s="148"/>
    </row>
    <row r="281" spans="4:14" x14ac:dyDescent="0.25">
      <c r="D281" s="147"/>
      <c r="F281" s="1"/>
      <c r="J281" s="145"/>
      <c r="K281" s="149"/>
      <c r="L281" s="149"/>
      <c r="M281" s="146"/>
      <c r="N281" s="148"/>
    </row>
    <row r="282" spans="4:14" x14ac:dyDescent="0.25">
      <c r="D282" s="147"/>
      <c r="F282" s="1"/>
      <c r="J282" s="145"/>
      <c r="K282" s="149"/>
      <c r="L282" s="149"/>
      <c r="M282" s="146"/>
      <c r="N282" s="148"/>
    </row>
    <row r="283" spans="4:14" x14ac:dyDescent="0.25">
      <c r="D283" s="147"/>
      <c r="F283" s="1"/>
      <c r="J283" s="145"/>
      <c r="K283" s="149"/>
      <c r="L283" s="149"/>
      <c r="M283" s="146"/>
      <c r="N283" s="148"/>
    </row>
    <row r="284" spans="4:14" x14ac:dyDescent="0.25">
      <c r="D284" s="147"/>
      <c r="F284" s="1"/>
      <c r="J284" s="145"/>
      <c r="K284" s="149"/>
      <c r="L284" s="149"/>
      <c r="M284" s="146"/>
      <c r="N284" s="148"/>
    </row>
    <row r="285" spans="4:14" x14ac:dyDescent="0.25">
      <c r="D285" s="147"/>
      <c r="F285" s="1"/>
      <c r="J285" s="145"/>
      <c r="K285" s="149"/>
      <c r="L285" s="149"/>
      <c r="M285" s="146"/>
      <c r="N285" s="148"/>
    </row>
    <row r="286" spans="4:14" x14ac:dyDescent="0.25">
      <c r="D286" s="147"/>
      <c r="F286" s="1"/>
      <c r="J286" s="145"/>
      <c r="K286" s="149"/>
      <c r="L286" s="149"/>
      <c r="M286" s="146"/>
      <c r="N286" s="148"/>
    </row>
    <row r="287" spans="4:14" x14ac:dyDescent="0.25">
      <c r="D287" s="147"/>
      <c r="F287" s="1"/>
      <c r="J287" s="145"/>
      <c r="K287" s="149"/>
      <c r="L287" s="149"/>
      <c r="M287" s="146"/>
      <c r="N287" s="148"/>
    </row>
    <row r="288" spans="4:14" x14ac:dyDescent="0.25">
      <c r="D288" s="147"/>
      <c r="F288" s="1"/>
      <c r="J288" s="145"/>
      <c r="K288" s="149"/>
      <c r="L288" s="149"/>
      <c r="M288" s="146"/>
      <c r="N288" s="148"/>
    </row>
    <row r="289" spans="4:14" x14ac:dyDescent="0.25">
      <c r="D289" s="147"/>
      <c r="F289" s="1"/>
      <c r="J289" s="145"/>
      <c r="K289" s="149"/>
      <c r="L289" s="149"/>
      <c r="M289" s="146"/>
      <c r="N289" s="148"/>
    </row>
    <row r="290" spans="4:14" x14ac:dyDescent="0.25">
      <c r="D290" s="147"/>
      <c r="F290" s="1"/>
      <c r="J290" s="145"/>
      <c r="K290" s="149"/>
      <c r="L290" s="149"/>
      <c r="M290" s="146"/>
      <c r="N290" s="148"/>
    </row>
    <row r="291" spans="4:14" x14ac:dyDescent="0.25">
      <c r="D291" s="147"/>
      <c r="F291" s="1"/>
      <c r="J291" s="145"/>
      <c r="K291" s="149"/>
      <c r="L291" s="149"/>
      <c r="M291" s="146"/>
      <c r="N291" s="148"/>
    </row>
    <row r="292" spans="4:14" x14ac:dyDescent="0.25">
      <c r="D292" s="147"/>
      <c r="F292" s="1"/>
      <c r="J292" s="145"/>
      <c r="K292" s="149"/>
      <c r="L292" s="149"/>
      <c r="M292" s="146"/>
      <c r="N292" s="148"/>
    </row>
    <row r="293" spans="4:14" x14ac:dyDescent="0.25">
      <c r="D293" s="147"/>
      <c r="F293" s="1"/>
      <c r="J293" s="145"/>
      <c r="K293" s="149"/>
      <c r="L293" s="149"/>
      <c r="M293" s="146"/>
      <c r="N293" s="148"/>
    </row>
    <row r="294" spans="4:14" x14ac:dyDescent="0.25">
      <c r="D294" s="147"/>
      <c r="F294" s="1"/>
      <c r="J294" s="145"/>
      <c r="K294" s="149"/>
      <c r="L294" s="149"/>
      <c r="M294" s="146"/>
      <c r="N294" s="148"/>
    </row>
    <row r="295" spans="4:14" x14ac:dyDescent="0.25">
      <c r="D295" s="147"/>
      <c r="F295" s="1"/>
      <c r="J295" s="145"/>
      <c r="K295" s="149"/>
      <c r="L295" s="149"/>
      <c r="M295" s="146"/>
      <c r="N295" s="148"/>
    </row>
    <row r="296" spans="4:14" x14ac:dyDescent="0.25">
      <c r="D296" s="147"/>
      <c r="F296" s="1"/>
      <c r="J296" s="145"/>
      <c r="K296" s="149"/>
      <c r="L296" s="149"/>
      <c r="M296" s="146"/>
      <c r="N296" s="148"/>
    </row>
    <row r="297" spans="4:14" x14ac:dyDescent="0.25">
      <c r="D297" s="147"/>
      <c r="F297" s="1"/>
      <c r="J297" s="145"/>
      <c r="K297" s="149"/>
      <c r="L297" s="149"/>
      <c r="M297" s="146"/>
      <c r="N297" s="148"/>
    </row>
    <row r="298" spans="4:14" x14ac:dyDescent="0.25">
      <c r="D298" s="147"/>
      <c r="F298" s="1"/>
      <c r="J298" s="145"/>
      <c r="K298" s="149"/>
      <c r="L298" s="149"/>
      <c r="M298" s="146"/>
      <c r="N298" s="148"/>
    </row>
    <row r="299" spans="4:14" x14ac:dyDescent="0.25">
      <c r="D299" s="147"/>
      <c r="F299" s="1"/>
      <c r="J299" s="145"/>
      <c r="K299" s="149"/>
      <c r="L299" s="149"/>
      <c r="M299" s="146"/>
      <c r="N299" s="148"/>
    </row>
    <row r="300" spans="4:14" x14ac:dyDescent="0.25">
      <c r="D300" s="147"/>
      <c r="F300" s="1"/>
      <c r="J300" s="145"/>
      <c r="K300" s="149"/>
      <c r="L300" s="149"/>
      <c r="M300" s="146"/>
      <c r="N300" s="148"/>
    </row>
    <row r="301" spans="4:14" x14ac:dyDescent="0.25">
      <c r="D301" s="147"/>
      <c r="F301" s="1"/>
      <c r="J301" s="145"/>
      <c r="K301" s="149"/>
      <c r="L301" s="149"/>
      <c r="M301" s="146"/>
      <c r="N301" s="148"/>
    </row>
    <row r="302" spans="4:14" x14ac:dyDescent="0.25">
      <c r="D302" s="147"/>
      <c r="F302" s="1"/>
      <c r="J302" s="145"/>
      <c r="K302" s="149"/>
      <c r="L302" s="149"/>
      <c r="M302" s="146"/>
      <c r="N302" s="148"/>
    </row>
    <row r="303" spans="4:14" x14ac:dyDescent="0.25">
      <c r="D303" s="147"/>
      <c r="F303" s="1"/>
      <c r="J303" s="145"/>
      <c r="K303" s="149"/>
      <c r="L303" s="149"/>
      <c r="M303" s="146"/>
      <c r="N303" s="148"/>
    </row>
    <row r="304" spans="4:14" x14ac:dyDescent="0.25">
      <c r="D304" s="147"/>
      <c r="F304" s="1"/>
      <c r="J304" s="145"/>
      <c r="K304" s="149"/>
      <c r="L304" s="149"/>
      <c r="M304" s="146"/>
      <c r="N304" s="148"/>
    </row>
    <row r="305" spans="4:14" x14ac:dyDescent="0.25">
      <c r="D305" s="147"/>
      <c r="F305" s="1"/>
      <c r="J305" s="145"/>
      <c r="K305" s="149"/>
      <c r="L305" s="149"/>
      <c r="M305" s="146"/>
      <c r="N305" s="148"/>
    </row>
    <row r="306" spans="4:14" x14ac:dyDescent="0.25">
      <c r="D306" s="147"/>
      <c r="F306" s="1"/>
      <c r="J306" s="145"/>
      <c r="K306" s="149"/>
      <c r="L306" s="149"/>
      <c r="M306" s="146"/>
      <c r="N306" s="148"/>
    </row>
    <row r="307" spans="4:14" x14ac:dyDescent="0.25">
      <c r="D307" s="147"/>
      <c r="F307" s="1"/>
      <c r="J307" s="145"/>
      <c r="K307" s="149"/>
      <c r="L307" s="149"/>
      <c r="M307" s="146"/>
      <c r="N307" s="148"/>
    </row>
    <row r="308" spans="4:14" x14ac:dyDescent="0.25">
      <c r="D308" s="147"/>
      <c r="F308" s="1"/>
      <c r="J308" s="145"/>
      <c r="K308" s="149"/>
      <c r="L308" s="149"/>
      <c r="M308" s="146"/>
      <c r="N308" s="148"/>
    </row>
    <row r="309" spans="4:14" x14ac:dyDescent="0.25">
      <c r="D309" s="147"/>
      <c r="F309" s="1"/>
      <c r="J309" s="145"/>
      <c r="K309" s="149"/>
      <c r="L309" s="149"/>
      <c r="M309" s="146"/>
      <c r="N309" s="148"/>
    </row>
    <row r="310" spans="4:14" x14ac:dyDescent="0.25">
      <c r="D310" s="147"/>
      <c r="F310" s="1"/>
      <c r="J310" s="145"/>
      <c r="K310" s="149"/>
      <c r="L310" s="149"/>
      <c r="M310" s="146"/>
      <c r="N310" s="148"/>
    </row>
    <row r="311" spans="4:14" x14ac:dyDescent="0.25">
      <c r="D311" s="147"/>
      <c r="F311" s="1"/>
      <c r="J311" s="145"/>
      <c r="K311" s="149"/>
      <c r="L311" s="149"/>
      <c r="M311" s="146"/>
      <c r="N311" s="148"/>
    </row>
    <row r="312" spans="4:14" x14ac:dyDescent="0.25">
      <c r="D312" s="147"/>
      <c r="F312" s="1"/>
      <c r="J312" s="145"/>
      <c r="K312" s="149"/>
      <c r="L312" s="149"/>
      <c r="M312" s="146"/>
      <c r="N312" s="148"/>
    </row>
    <row r="313" spans="4:14" x14ac:dyDescent="0.25">
      <c r="D313" s="147"/>
      <c r="F313" s="1"/>
      <c r="J313" s="145"/>
      <c r="K313" s="149"/>
      <c r="L313" s="149"/>
      <c r="M313" s="146"/>
      <c r="N313" s="148"/>
    </row>
    <row r="314" spans="4:14" x14ac:dyDescent="0.25">
      <c r="D314" s="147"/>
      <c r="F314" s="1"/>
      <c r="J314" s="145"/>
      <c r="K314" s="149"/>
      <c r="L314" s="149"/>
      <c r="M314" s="146"/>
      <c r="N314" s="148"/>
    </row>
    <row r="315" spans="4:14" x14ac:dyDescent="0.25">
      <c r="D315" s="147"/>
      <c r="F315" s="1"/>
      <c r="J315" s="145"/>
      <c r="K315" s="149"/>
      <c r="L315" s="149"/>
      <c r="M315" s="146"/>
      <c r="N315" s="148"/>
    </row>
    <row r="316" spans="4:14" x14ac:dyDescent="0.25">
      <c r="D316" s="147"/>
      <c r="F316" s="1"/>
      <c r="J316" s="145"/>
      <c r="K316" s="149"/>
      <c r="L316" s="149"/>
      <c r="M316" s="146"/>
      <c r="N316" s="148"/>
    </row>
    <row r="317" spans="4:14" x14ac:dyDescent="0.25">
      <c r="D317" s="147"/>
      <c r="F317" s="1"/>
      <c r="J317" s="145"/>
      <c r="K317" s="149"/>
      <c r="L317" s="149"/>
      <c r="M317" s="146"/>
      <c r="N317" s="148"/>
    </row>
    <row r="318" spans="4:14" x14ac:dyDescent="0.25">
      <c r="D318" s="147"/>
      <c r="F318" s="1"/>
      <c r="J318" s="145"/>
      <c r="K318" s="149"/>
      <c r="L318" s="149"/>
      <c r="M318" s="146"/>
      <c r="N318" s="148"/>
    </row>
    <row r="319" spans="4:14" x14ac:dyDescent="0.25">
      <c r="D319" s="147"/>
      <c r="F319" s="1"/>
      <c r="J319" s="145"/>
      <c r="K319" s="149"/>
      <c r="L319" s="149"/>
      <c r="M319" s="146"/>
      <c r="N319" s="148"/>
    </row>
    <row r="320" spans="4:14" x14ac:dyDescent="0.25">
      <c r="D320" s="147"/>
      <c r="F320" s="1"/>
      <c r="J320" s="145"/>
      <c r="K320" s="149"/>
      <c r="L320" s="149"/>
      <c r="M320" s="146"/>
      <c r="N320" s="148"/>
    </row>
    <row r="321" spans="4:14" x14ac:dyDescent="0.25">
      <c r="D321" s="147"/>
      <c r="F321" s="1"/>
      <c r="J321" s="145"/>
      <c r="K321" s="149"/>
      <c r="L321" s="149"/>
      <c r="M321" s="146"/>
      <c r="N321" s="148"/>
    </row>
    <row r="322" spans="4:14" x14ac:dyDescent="0.25">
      <c r="D322" s="147"/>
      <c r="F322" s="1"/>
      <c r="J322" s="145"/>
      <c r="K322" s="149"/>
      <c r="L322" s="149"/>
      <c r="M322" s="146"/>
      <c r="N322" s="148"/>
    </row>
    <row r="323" spans="4:14" x14ac:dyDescent="0.25">
      <c r="D323" s="147"/>
      <c r="F323" s="1"/>
      <c r="J323" s="145"/>
      <c r="K323" s="149"/>
      <c r="L323" s="149"/>
      <c r="M323" s="146"/>
      <c r="N323" s="148"/>
    </row>
    <row r="324" spans="4:14" x14ac:dyDescent="0.25">
      <c r="D324" s="147"/>
      <c r="F324" s="1"/>
      <c r="J324" s="145"/>
      <c r="K324" s="149"/>
      <c r="L324" s="149"/>
      <c r="M324" s="146"/>
      <c r="N324" s="148"/>
    </row>
    <row r="325" spans="4:14" x14ac:dyDescent="0.25">
      <c r="D325" s="147"/>
      <c r="F325" s="1"/>
      <c r="J325" s="145"/>
      <c r="K325" s="149"/>
      <c r="L325" s="149"/>
      <c r="M325" s="146"/>
      <c r="N325" s="148"/>
    </row>
    <row r="326" spans="4:14" x14ac:dyDescent="0.25">
      <c r="D326" s="147"/>
      <c r="F326" s="1"/>
      <c r="J326" s="145"/>
      <c r="K326" s="149"/>
      <c r="L326" s="149"/>
      <c r="M326" s="146"/>
      <c r="N326" s="148"/>
    </row>
    <row r="327" spans="4:14" x14ac:dyDescent="0.25">
      <c r="D327" s="147"/>
      <c r="F327" s="1"/>
      <c r="J327" s="145"/>
      <c r="K327" s="149"/>
      <c r="L327" s="149"/>
      <c r="M327" s="146"/>
      <c r="N327" s="148"/>
    </row>
    <row r="328" spans="4:14" x14ac:dyDescent="0.25">
      <c r="D328" s="147"/>
      <c r="F328" s="1"/>
      <c r="J328" s="145"/>
      <c r="K328" s="149"/>
      <c r="L328" s="149"/>
      <c r="M328" s="146"/>
      <c r="N328" s="148"/>
    </row>
    <row r="329" spans="4:14" x14ac:dyDescent="0.25">
      <c r="D329" s="147"/>
      <c r="F329" s="1"/>
      <c r="J329" s="145"/>
      <c r="K329" s="149"/>
      <c r="L329" s="149"/>
      <c r="M329" s="146"/>
      <c r="N329" s="148"/>
    </row>
    <row r="330" spans="4:14" x14ac:dyDescent="0.25">
      <c r="D330" s="147"/>
      <c r="F330" s="1"/>
      <c r="J330" s="145"/>
      <c r="K330" s="149"/>
      <c r="L330" s="149"/>
      <c r="M330" s="146"/>
      <c r="N330" s="148"/>
    </row>
    <row r="331" spans="4:14" x14ac:dyDescent="0.25">
      <c r="D331" s="147"/>
      <c r="F331" s="1"/>
      <c r="J331" s="145"/>
      <c r="K331" s="149"/>
      <c r="L331" s="149"/>
      <c r="M331" s="146"/>
      <c r="N331" s="148"/>
    </row>
    <row r="332" spans="4:14" x14ac:dyDescent="0.25">
      <c r="D332" s="147"/>
      <c r="F332" s="1"/>
      <c r="J332" s="145"/>
      <c r="K332" s="149"/>
      <c r="L332" s="149"/>
      <c r="M332" s="146"/>
      <c r="N332" s="148"/>
    </row>
    <row r="333" spans="4:14" x14ac:dyDescent="0.25">
      <c r="D333" s="147"/>
      <c r="F333" s="1"/>
      <c r="J333" s="145"/>
      <c r="K333" s="149"/>
      <c r="L333" s="149"/>
      <c r="M333" s="146"/>
      <c r="N333" s="148"/>
    </row>
    <row r="334" spans="4:14" x14ac:dyDescent="0.25">
      <c r="D334" s="147"/>
      <c r="F334" s="1"/>
      <c r="J334" s="145"/>
      <c r="K334" s="149"/>
      <c r="L334" s="149"/>
      <c r="M334" s="146"/>
      <c r="N334" s="148"/>
    </row>
    <row r="335" spans="4:14" x14ac:dyDescent="0.25">
      <c r="D335" s="147"/>
      <c r="F335" s="1"/>
      <c r="J335" s="145"/>
      <c r="K335" s="149"/>
      <c r="L335" s="149"/>
      <c r="M335" s="146"/>
      <c r="N335" s="148"/>
    </row>
    <row r="336" spans="4:14" x14ac:dyDescent="0.25">
      <c r="D336" s="147"/>
      <c r="F336" s="1"/>
      <c r="J336" s="145"/>
      <c r="K336" s="149"/>
      <c r="L336" s="149"/>
      <c r="M336" s="146"/>
      <c r="N336" s="148"/>
    </row>
    <row r="337" spans="4:14" x14ac:dyDescent="0.25">
      <c r="D337" s="147"/>
      <c r="F337" s="1"/>
      <c r="J337" s="145"/>
      <c r="K337" s="149"/>
      <c r="L337" s="149"/>
      <c r="M337" s="146"/>
      <c r="N337" s="148"/>
    </row>
    <row r="338" spans="4:14" x14ac:dyDescent="0.25">
      <c r="D338" s="147"/>
      <c r="F338" s="1"/>
      <c r="J338" s="145"/>
      <c r="K338" s="149"/>
      <c r="L338" s="149"/>
      <c r="M338" s="146"/>
      <c r="N338" s="148"/>
    </row>
    <row r="339" spans="4:14" x14ac:dyDescent="0.25">
      <c r="D339" s="147"/>
      <c r="F339" s="1"/>
      <c r="J339" s="145"/>
      <c r="K339" s="149"/>
      <c r="L339" s="149"/>
      <c r="M339" s="146"/>
      <c r="N339" s="148"/>
    </row>
    <row r="340" spans="4:14" x14ac:dyDescent="0.25">
      <c r="D340" s="147"/>
      <c r="F340" s="1"/>
      <c r="J340" s="145"/>
      <c r="K340" s="149"/>
      <c r="L340" s="149"/>
      <c r="M340" s="146"/>
      <c r="N340" s="148"/>
    </row>
    <row r="341" spans="4:14" x14ac:dyDescent="0.25">
      <c r="D341" s="147"/>
      <c r="F341" s="1"/>
      <c r="J341" s="145"/>
      <c r="K341" s="149"/>
      <c r="L341" s="149"/>
      <c r="M341" s="146"/>
      <c r="N341" s="148"/>
    </row>
    <row r="342" spans="4:14" x14ac:dyDescent="0.25">
      <c r="D342" s="147"/>
      <c r="F342" s="1"/>
      <c r="J342" s="145"/>
      <c r="K342" s="149"/>
      <c r="L342" s="149"/>
      <c r="M342" s="146"/>
      <c r="N342" s="148"/>
    </row>
    <row r="343" spans="4:14" x14ac:dyDescent="0.25">
      <c r="D343" s="147"/>
      <c r="F343" s="1"/>
      <c r="J343" s="145"/>
      <c r="K343" s="149"/>
      <c r="L343" s="149"/>
      <c r="M343" s="146"/>
      <c r="N343" s="148"/>
    </row>
    <row r="344" spans="4:14" x14ac:dyDescent="0.25">
      <c r="D344" s="147"/>
      <c r="F344" s="1"/>
      <c r="J344" s="145"/>
      <c r="K344" s="149"/>
      <c r="L344" s="149"/>
      <c r="M344" s="146"/>
      <c r="N344" s="148"/>
    </row>
    <row r="345" spans="4:14" x14ac:dyDescent="0.25">
      <c r="D345" s="147"/>
      <c r="F345" s="1"/>
      <c r="J345" s="145"/>
      <c r="K345" s="149"/>
      <c r="L345" s="149"/>
      <c r="M345" s="146"/>
      <c r="N345" s="148"/>
    </row>
    <row r="346" spans="4:14" x14ac:dyDescent="0.25">
      <c r="D346" s="147"/>
      <c r="F346" s="1"/>
      <c r="J346" s="145"/>
      <c r="K346" s="149"/>
      <c r="L346" s="149"/>
      <c r="M346" s="146"/>
      <c r="N346" s="148"/>
    </row>
    <row r="347" spans="4:14" x14ac:dyDescent="0.25">
      <c r="D347" s="147"/>
      <c r="F347" s="1"/>
      <c r="J347" s="145"/>
      <c r="K347" s="149"/>
      <c r="L347" s="149"/>
      <c r="M347" s="146"/>
      <c r="N347" s="148"/>
    </row>
    <row r="348" spans="4:14" x14ac:dyDescent="0.25">
      <c r="D348" s="147"/>
      <c r="F348" s="1"/>
      <c r="J348" s="145"/>
      <c r="K348" s="149"/>
      <c r="L348" s="149"/>
      <c r="M348" s="146"/>
      <c r="N348" s="148"/>
    </row>
    <row r="349" spans="4:14" x14ac:dyDescent="0.25">
      <c r="D349" s="147"/>
      <c r="F349" s="1"/>
      <c r="J349" s="145"/>
      <c r="K349" s="149"/>
      <c r="L349" s="149"/>
      <c r="M349" s="146"/>
      <c r="N349" s="148"/>
    </row>
    <row r="350" spans="4:14" x14ac:dyDescent="0.25">
      <c r="D350" s="147"/>
      <c r="F350" s="1"/>
      <c r="J350" s="145"/>
      <c r="K350" s="149"/>
      <c r="L350" s="149"/>
      <c r="M350" s="146"/>
      <c r="N350" s="148"/>
    </row>
    <row r="351" spans="4:14" x14ac:dyDescent="0.25">
      <c r="D351" s="147"/>
      <c r="F351" s="1"/>
      <c r="J351" s="145"/>
      <c r="K351" s="149"/>
      <c r="L351" s="149"/>
      <c r="M351" s="146"/>
      <c r="N351" s="148"/>
    </row>
    <row r="352" spans="4:14" x14ac:dyDescent="0.25">
      <c r="D352" s="147"/>
      <c r="F352" s="1"/>
      <c r="J352" s="145"/>
      <c r="K352" s="149"/>
      <c r="L352" s="149"/>
      <c r="M352" s="146"/>
      <c r="N352" s="148"/>
    </row>
    <row r="353" spans="4:14" x14ac:dyDescent="0.25">
      <c r="D353" s="147"/>
      <c r="F353" s="1"/>
      <c r="J353" s="145"/>
      <c r="K353" s="149"/>
      <c r="L353" s="149"/>
      <c r="M353" s="146"/>
      <c r="N353" s="148"/>
    </row>
    <row r="354" spans="4:14" x14ac:dyDescent="0.25">
      <c r="D354" s="147"/>
      <c r="F354" s="1"/>
      <c r="J354" s="145"/>
      <c r="K354" s="149"/>
      <c r="L354" s="149"/>
      <c r="M354" s="146"/>
      <c r="N354" s="148"/>
    </row>
    <row r="355" spans="4:14" x14ac:dyDescent="0.25">
      <c r="D355" s="147"/>
      <c r="F355" s="1"/>
      <c r="J355" s="145"/>
      <c r="K355" s="149"/>
      <c r="L355" s="149"/>
      <c r="M355" s="146"/>
      <c r="N355" s="148"/>
    </row>
    <row r="356" spans="4:14" x14ac:dyDescent="0.25">
      <c r="D356" s="147"/>
      <c r="F356" s="1"/>
      <c r="J356" s="145"/>
      <c r="K356" s="149"/>
      <c r="L356" s="149"/>
      <c r="M356" s="146"/>
      <c r="N356" s="148"/>
    </row>
    <row r="357" spans="4:14" x14ac:dyDescent="0.25">
      <c r="D357" s="147"/>
      <c r="F357" s="1"/>
      <c r="J357" s="145"/>
      <c r="K357" s="149"/>
      <c r="L357" s="149"/>
      <c r="M357" s="146"/>
      <c r="N357" s="148"/>
    </row>
    <row r="358" spans="4:14" x14ac:dyDescent="0.25">
      <c r="D358" s="147"/>
      <c r="F358" s="1"/>
      <c r="J358" s="145"/>
      <c r="K358" s="149"/>
      <c r="L358" s="149"/>
      <c r="M358" s="146"/>
      <c r="N358" s="148"/>
    </row>
    <row r="359" spans="4:14" x14ac:dyDescent="0.25">
      <c r="D359" s="147"/>
      <c r="F359" s="1"/>
      <c r="J359" s="145"/>
      <c r="K359" s="149"/>
      <c r="L359" s="149"/>
      <c r="M359" s="146"/>
      <c r="N359" s="148"/>
    </row>
    <row r="360" spans="4:14" x14ac:dyDescent="0.25">
      <c r="D360" s="147"/>
      <c r="F360" s="1"/>
      <c r="J360" s="145"/>
      <c r="K360" s="149"/>
      <c r="L360" s="149"/>
      <c r="M360" s="146"/>
      <c r="N360" s="148"/>
    </row>
    <row r="361" spans="4:14" x14ac:dyDescent="0.25">
      <c r="D361" s="147"/>
      <c r="F361" s="1"/>
      <c r="J361" s="145"/>
      <c r="K361" s="149"/>
      <c r="L361" s="149"/>
      <c r="M361" s="146"/>
      <c r="N361" s="148"/>
    </row>
    <row r="362" spans="4:14" x14ac:dyDescent="0.25">
      <c r="D362" s="147"/>
      <c r="F362" s="1"/>
      <c r="J362" s="145"/>
      <c r="K362" s="149"/>
      <c r="L362" s="149"/>
      <c r="M362" s="146"/>
      <c r="N362" s="148"/>
    </row>
    <row r="363" spans="4:14" x14ac:dyDescent="0.25">
      <c r="D363" s="147"/>
      <c r="F363" s="1"/>
      <c r="J363" s="145"/>
      <c r="K363" s="149"/>
      <c r="L363" s="149"/>
      <c r="M363" s="146"/>
      <c r="N363" s="148"/>
    </row>
    <row r="364" spans="4:14" x14ac:dyDescent="0.25">
      <c r="D364" s="147"/>
      <c r="F364" s="1"/>
      <c r="J364" s="145"/>
      <c r="K364" s="149"/>
      <c r="L364" s="149"/>
      <c r="M364" s="146"/>
      <c r="N364" s="148"/>
    </row>
    <row r="365" spans="4:14" x14ac:dyDescent="0.25">
      <c r="D365" s="147"/>
      <c r="F365" s="1"/>
      <c r="J365" s="145"/>
      <c r="K365" s="149"/>
      <c r="L365" s="149"/>
      <c r="M365" s="146"/>
      <c r="N365" s="148"/>
    </row>
    <row r="366" spans="4:14" x14ac:dyDescent="0.25">
      <c r="D366" s="147"/>
      <c r="F366" s="1"/>
      <c r="J366" s="145"/>
      <c r="K366" s="149"/>
      <c r="L366" s="149"/>
      <c r="M366" s="146"/>
      <c r="N366" s="148"/>
    </row>
    <row r="367" spans="4:14" x14ac:dyDescent="0.25">
      <c r="D367" s="147"/>
      <c r="F367" s="1"/>
      <c r="J367" s="145"/>
      <c r="K367" s="149"/>
      <c r="L367" s="149"/>
      <c r="M367" s="146"/>
      <c r="N367" s="148"/>
    </row>
    <row r="368" spans="4:14" x14ac:dyDescent="0.25">
      <c r="D368" s="147"/>
      <c r="F368" s="1"/>
      <c r="J368" s="145"/>
      <c r="K368" s="149"/>
      <c r="L368" s="149"/>
      <c r="M368" s="146"/>
      <c r="N368" s="148"/>
    </row>
    <row r="369" spans="4:14" x14ac:dyDescent="0.25">
      <c r="D369" s="147"/>
      <c r="F369" s="1"/>
      <c r="J369" s="145"/>
      <c r="K369" s="149"/>
      <c r="L369" s="149"/>
      <c r="M369" s="146"/>
      <c r="N369" s="148"/>
    </row>
    <row r="370" spans="4:14" x14ac:dyDescent="0.25">
      <c r="D370" s="147"/>
      <c r="F370" s="1"/>
      <c r="J370" s="145"/>
      <c r="K370" s="149"/>
      <c r="L370" s="149"/>
      <c r="M370" s="146"/>
      <c r="N370" s="148"/>
    </row>
    <row r="371" spans="4:14" x14ac:dyDescent="0.25">
      <c r="D371" s="147"/>
      <c r="F371" s="1"/>
      <c r="J371" s="145"/>
      <c r="K371" s="149"/>
      <c r="L371" s="149"/>
      <c r="M371" s="146"/>
      <c r="N371" s="148"/>
    </row>
    <row r="372" spans="4:14" x14ac:dyDescent="0.25">
      <c r="D372" s="147"/>
      <c r="F372" s="1"/>
      <c r="J372" s="145"/>
      <c r="K372" s="149"/>
      <c r="L372" s="149"/>
      <c r="M372" s="146"/>
      <c r="N372" s="148"/>
    </row>
    <row r="373" spans="4:14" x14ac:dyDescent="0.25">
      <c r="D373" s="147"/>
      <c r="F373" s="1"/>
      <c r="J373" s="145"/>
      <c r="K373" s="149"/>
      <c r="L373" s="149"/>
      <c r="M373" s="146"/>
      <c r="N373" s="148"/>
    </row>
    <row r="374" spans="4:14" x14ac:dyDescent="0.25">
      <c r="D374" s="147"/>
      <c r="F374" s="1"/>
      <c r="J374" s="145"/>
      <c r="K374" s="149"/>
      <c r="L374" s="149"/>
      <c r="M374" s="146"/>
      <c r="N374" s="148"/>
    </row>
    <row r="375" spans="4:14" x14ac:dyDescent="0.25">
      <c r="D375" s="147"/>
      <c r="F375" s="1"/>
      <c r="J375" s="145"/>
      <c r="K375" s="149"/>
      <c r="L375" s="149"/>
      <c r="M375" s="146"/>
      <c r="N375" s="148"/>
    </row>
    <row r="376" spans="4:14" x14ac:dyDescent="0.25">
      <c r="D376" s="147"/>
      <c r="F376" s="1"/>
      <c r="J376" s="145"/>
      <c r="K376" s="149"/>
      <c r="L376" s="149"/>
      <c r="M376" s="146"/>
      <c r="N376" s="148"/>
    </row>
    <row r="377" spans="4:14" x14ac:dyDescent="0.25">
      <c r="D377" s="147"/>
      <c r="F377" s="1"/>
      <c r="J377" s="145"/>
      <c r="K377" s="149"/>
      <c r="L377" s="149"/>
      <c r="M377" s="146"/>
      <c r="N377" s="148"/>
    </row>
    <row r="378" spans="4:14" x14ac:dyDescent="0.25">
      <c r="D378" s="147"/>
      <c r="F378" s="1"/>
      <c r="J378" s="145"/>
      <c r="K378" s="149"/>
      <c r="L378" s="149"/>
      <c r="M378" s="146"/>
      <c r="N378" s="148"/>
    </row>
    <row r="379" spans="4:14" x14ac:dyDescent="0.25">
      <c r="D379" s="147"/>
      <c r="F379" s="1"/>
      <c r="J379" s="145"/>
      <c r="K379" s="149"/>
      <c r="L379" s="149"/>
      <c r="M379" s="146"/>
      <c r="N379" s="148"/>
    </row>
    <row r="380" spans="4:14" x14ac:dyDescent="0.25">
      <c r="D380" s="147"/>
      <c r="F380" s="1"/>
      <c r="J380" s="145"/>
      <c r="K380" s="149"/>
      <c r="L380" s="149"/>
      <c r="M380" s="146"/>
      <c r="N380" s="148"/>
    </row>
    <row r="381" spans="4:14" x14ac:dyDescent="0.25">
      <c r="D381" s="147"/>
      <c r="F381" s="1"/>
      <c r="J381" s="145"/>
      <c r="K381" s="149"/>
      <c r="L381" s="149"/>
      <c r="M381" s="146"/>
      <c r="N381" s="148"/>
    </row>
    <row r="382" spans="4:14" x14ac:dyDescent="0.25">
      <c r="D382" s="147"/>
      <c r="F382" s="1"/>
      <c r="J382" s="145"/>
      <c r="K382" s="149"/>
      <c r="L382" s="149"/>
      <c r="M382" s="146"/>
      <c r="N382" s="148"/>
    </row>
    <row r="383" spans="4:14" x14ac:dyDescent="0.25">
      <c r="D383" s="147"/>
      <c r="F383" s="1"/>
      <c r="J383" s="145"/>
      <c r="K383" s="149"/>
      <c r="L383" s="149"/>
      <c r="M383" s="146"/>
      <c r="N383" s="148"/>
    </row>
    <row r="384" spans="4:14" x14ac:dyDescent="0.25">
      <c r="D384" s="147"/>
      <c r="F384" s="1"/>
      <c r="J384" s="145"/>
      <c r="K384" s="149"/>
      <c r="L384" s="149"/>
      <c r="M384" s="146"/>
      <c r="N384" s="148"/>
    </row>
    <row r="385" spans="4:14" x14ac:dyDescent="0.25">
      <c r="D385" s="147"/>
      <c r="F385" s="1"/>
      <c r="J385" s="145"/>
      <c r="K385" s="149"/>
      <c r="L385" s="149"/>
      <c r="M385" s="146"/>
      <c r="N385" s="148"/>
    </row>
    <row r="386" spans="4:14" x14ac:dyDescent="0.25">
      <c r="D386" s="147"/>
      <c r="F386" s="1"/>
      <c r="J386" s="145"/>
      <c r="K386" s="149"/>
      <c r="L386" s="149"/>
      <c r="M386" s="146"/>
      <c r="N386" s="148"/>
    </row>
    <row r="387" spans="4:14" x14ac:dyDescent="0.25">
      <c r="D387" s="147"/>
      <c r="F387" s="1"/>
      <c r="J387" s="145"/>
      <c r="K387" s="149"/>
      <c r="L387" s="149"/>
      <c r="M387" s="146"/>
      <c r="N387" s="148"/>
    </row>
    <row r="388" spans="4:14" x14ac:dyDescent="0.25">
      <c r="D388" s="147"/>
      <c r="F388" s="1"/>
      <c r="J388" s="145"/>
      <c r="K388" s="149"/>
      <c r="L388" s="149"/>
      <c r="M388" s="146"/>
      <c r="N388" s="148"/>
    </row>
    <row r="389" spans="4:14" x14ac:dyDescent="0.25">
      <c r="D389" s="147"/>
      <c r="F389" s="1"/>
      <c r="J389" s="145"/>
      <c r="K389" s="149"/>
      <c r="L389" s="149"/>
      <c r="M389" s="146"/>
      <c r="N389" s="148"/>
    </row>
    <row r="390" spans="4:14" x14ac:dyDescent="0.25">
      <c r="D390" s="147"/>
      <c r="F390" s="1"/>
      <c r="J390" s="145"/>
      <c r="K390" s="149"/>
      <c r="L390" s="149"/>
      <c r="M390" s="146"/>
      <c r="N390" s="148"/>
    </row>
    <row r="391" spans="4:14" x14ac:dyDescent="0.25">
      <c r="D391" s="147"/>
      <c r="F391" s="1"/>
      <c r="J391" s="145"/>
      <c r="K391" s="149"/>
      <c r="L391" s="149"/>
      <c r="M391" s="146"/>
      <c r="N391" s="148"/>
    </row>
    <row r="392" spans="4:14" x14ac:dyDescent="0.25">
      <c r="D392" s="147"/>
      <c r="F392" s="1"/>
      <c r="J392" s="145"/>
      <c r="K392" s="149"/>
      <c r="L392" s="149"/>
      <c r="M392" s="146"/>
      <c r="N392" s="148"/>
    </row>
    <row r="393" spans="4:14" x14ac:dyDescent="0.25">
      <c r="D393" s="147"/>
      <c r="F393" s="1"/>
      <c r="J393" s="145"/>
      <c r="K393" s="149"/>
      <c r="L393" s="149"/>
      <c r="M393" s="146"/>
      <c r="N393" s="148"/>
    </row>
    <row r="394" spans="4:14" x14ac:dyDescent="0.25">
      <c r="D394" s="147"/>
      <c r="F394" s="1"/>
      <c r="J394" s="145"/>
      <c r="K394" s="149"/>
      <c r="L394" s="149"/>
      <c r="M394" s="146"/>
      <c r="N394" s="148"/>
    </row>
    <row r="395" spans="4:14" x14ac:dyDescent="0.25">
      <c r="D395" s="147"/>
      <c r="F395" s="1"/>
      <c r="J395" s="145"/>
      <c r="K395" s="149"/>
      <c r="L395" s="149"/>
      <c r="M395" s="146"/>
      <c r="N395" s="148"/>
    </row>
    <row r="396" spans="4:14" x14ac:dyDescent="0.25">
      <c r="D396" s="147"/>
      <c r="F396" s="1"/>
      <c r="J396" s="145"/>
      <c r="K396" s="149"/>
      <c r="L396" s="149"/>
      <c r="M396" s="146"/>
      <c r="N396" s="148"/>
    </row>
    <row r="397" spans="4:14" x14ac:dyDescent="0.25">
      <c r="D397" s="147"/>
      <c r="F397" s="1"/>
      <c r="J397" s="145"/>
      <c r="K397" s="149"/>
      <c r="L397" s="149"/>
      <c r="M397" s="146"/>
      <c r="N397" s="148"/>
    </row>
    <row r="398" spans="4:14" x14ac:dyDescent="0.25">
      <c r="D398" s="147"/>
      <c r="F398" s="1"/>
      <c r="J398" s="145"/>
      <c r="K398" s="149"/>
      <c r="L398" s="149"/>
      <c r="M398" s="146"/>
      <c r="N398" s="148"/>
    </row>
    <row r="399" spans="4:14" x14ac:dyDescent="0.25">
      <c r="D399" s="147"/>
      <c r="F399" s="1"/>
      <c r="J399" s="145"/>
      <c r="K399" s="149"/>
      <c r="L399" s="149"/>
      <c r="M399" s="146"/>
      <c r="N399" s="148"/>
    </row>
    <row r="400" spans="4:14" x14ac:dyDescent="0.25">
      <c r="D400" s="147"/>
      <c r="F400" s="1"/>
      <c r="J400" s="145"/>
      <c r="K400" s="149"/>
      <c r="L400" s="149"/>
      <c r="M400" s="146"/>
      <c r="N400" s="148"/>
    </row>
    <row r="401" spans="4:14" x14ac:dyDescent="0.25">
      <c r="D401" s="147"/>
      <c r="F401" s="1"/>
      <c r="J401" s="145"/>
      <c r="K401" s="149"/>
      <c r="L401" s="149"/>
      <c r="M401" s="146"/>
      <c r="N401" s="148"/>
    </row>
    <row r="402" spans="4:14" x14ac:dyDescent="0.25">
      <c r="D402" s="147"/>
      <c r="F402" s="1"/>
      <c r="J402" s="145"/>
      <c r="K402" s="149"/>
      <c r="L402" s="149"/>
      <c r="M402" s="146"/>
      <c r="N402" s="148"/>
    </row>
    <row r="403" spans="4:14" x14ac:dyDescent="0.25">
      <c r="D403" s="147"/>
      <c r="F403" s="1"/>
      <c r="J403" s="145"/>
      <c r="K403" s="149"/>
      <c r="L403" s="149"/>
      <c r="M403" s="146"/>
      <c r="N403" s="148"/>
    </row>
    <row r="404" spans="4:14" x14ac:dyDescent="0.25">
      <c r="D404" s="147"/>
      <c r="F404" s="1"/>
      <c r="J404" s="145"/>
      <c r="K404" s="149"/>
      <c r="L404" s="149"/>
      <c r="M404" s="146"/>
      <c r="N404" s="148"/>
    </row>
    <row r="405" spans="4:14" x14ac:dyDescent="0.25">
      <c r="D405" s="147"/>
      <c r="F405" s="1"/>
      <c r="J405" s="145"/>
      <c r="K405" s="149"/>
      <c r="L405" s="149"/>
      <c r="M405" s="146"/>
      <c r="N405" s="148"/>
    </row>
    <row r="406" spans="4:14" x14ac:dyDescent="0.25">
      <c r="D406" s="147"/>
      <c r="F406" s="1"/>
      <c r="J406" s="145"/>
      <c r="K406" s="149"/>
      <c r="L406" s="149"/>
      <c r="M406" s="146"/>
      <c r="N406" s="148"/>
    </row>
    <row r="407" spans="4:14" x14ac:dyDescent="0.25">
      <c r="D407" s="147"/>
      <c r="F407" s="1"/>
      <c r="J407" s="145"/>
      <c r="K407" s="149"/>
      <c r="L407" s="149"/>
      <c r="M407" s="146"/>
      <c r="N407" s="148"/>
    </row>
    <row r="408" spans="4:14" x14ac:dyDescent="0.25">
      <c r="D408" s="147"/>
      <c r="F408" s="1"/>
      <c r="J408" s="145"/>
      <c r="K408" s="149"/>
      <c r="L408" s="149"/>
      <c r="M408" s="146"/>
      <c r="N408" s="148"/>
    </row>
    <row r="409" spans="4:14" x14ac:dyDescent="0.25">
      <c r="D409" s="147"/>
      <c r="F409" s="1"/>
      <c r="J409" s="145"/>
      <c r="K409" s="149"/>
      <c r="L409" s="149"/>
      <c r="M409" s="146"/>
      <c r="N409" s="148"/>
    </row>
    <row r="410" spans="4:14" x14ac:dyDescent="0.25">
      <c r="D410" s="147"/>
      <c r="F410" s="1"/>
      <c r="J410" s="145"/>
      <c r="K410" s="149"/>
      <c r="L410" s="149"/>
      <c r="M410" s="146"/>
      <c r="N410" s="148"/>
    </row>
    <row r="411" spans="4:14" x14ac:dyDescent="0.25">
      <c r="D411" s="147"/>
      <c r="F411" s="1"/>
      <c r="J411" s="145"/>
      <c r="K411" s="149"/>
      <c r="L411" s="149"/>
      <c r="M411" s="146"/>
      <c r="N411" s="148"/>
    </row>
    <row r="412" spans="4:14" x14ac:dyDescent="0.25">
      <c r="D412" s="147"/>
      <c r="F412" s="1"/>
      <c r="J412" s="145"/>
      <c r="K412" s="149"/>
      <c r="L412" s="149"/>
      <c r="M412" s="146"/>
      <c r="N412" s="148"/>
    </row>
    <row r="413" spans="4:14" x14ac:dyDescent="0.25">
      <c r="D413" s="147"/>
      <c r="F413" s="1"/>
      <c r="J413" s="145"/>
      <c r="K413" s="149"/>
      <c r="L413" s="149"/>
      <c r="M413" s="146"/>
      <c r="N413" s="148"/>
    </row>
    <row r="414" spans="4:14" x14ac:dyDescent="0.25">
      <c r="D414" s="147"/>
      <c r="F414" s="1"/>
      <c r="J414" s="145"/>
      <c r="K414" s="149"/>
      <c r="L414" s="149"/>
      <c r="M414" s="146"/>
      <c r="N414" s="148"/>
    </row>
    <row r="415" spans="4:14" x14ac:dyDescent="0.25">
      <c r="D415" s="147"/>
      <c r="F415" s="1"/>
      <c r="J415" s="145"/>
      <c r="K415" s="149"/>
      <c r="L415" s="149"/>
      <c r="M415" s="146"/>
      <c r="N415" s="148"/>
    </row>
    <row r="416" spans="4:14" x14ac:dyDescent="0.25">
      <c r="D416" s="147"/>
      <c r="F416" s="1"/>
      <c r="J416" s="145"/>
      <c r="K416" s="149"/>
      <c r="L416" s="149"/>
      <c r="M416" s="146"/>
      <c r="N416" s="148"/>
    </row>
    <row r="417" spans="4:14" x14ac:dyDescent="0.25">
      <c r="D417" s="147"/>
      <c r="F417" s="1"/>
      <c r="J417" s="145"/>
      <c r="K417" s="149"/>
      <c r="L417" s="149"/>
      <c r="M417" s="146"/>
      <c r="N417" s="148"/>
    </row>
    <row r="418" spans="4:14" x14ac:dyDescent="0.25">
      <c r="D418" s="147"/>
      <c r="F418" s="1"/>
      <c r="J418" s="145"/>
      <c r="K418" s="149"/>
      <c r="L418" s="149"/>
      <c r="M418" s="146"/>
      <c r="N418" s="148"/>
    </row>
    <row r="419" spans="4:14" x14ac:dyDescent="0.25">
      <c r="D419" s="147"/>
      <c r="F419" s="1"/>
      <c r="J419" s="145"/>
      <c r="K419" s="149"/>
      <c r="L419" s="149"/>
      <c r="M419" s="146"/>
      <c r="N419" s="148"/>
    </row>
    <row r="420" spans="4:14" x14ac:dyDescent="0.25">
      <c r="D420" s="147"/>
      <c r="F420" s="1"/>
      <c r="J420" s="145"/>
      <c r="K420" s="149"/>
      <c r="L420" s="149"/>
      <c r="M420" s="146"/>
      <c r="N420" s="148"/>
    </row>
    <row r="421" spans="4:14" x14ac:dyDescent="0.25">
      <c r="D421" s="147"/>
      <c r="F421" s="1"/>
      <c r="J421" s="145"/>
      <c r="K421" s="149"/>
      <c r="L421" s="149"/>
      <c r="M421" s="146"/>
      <c r="N421" s="148"/>
    </row>
    <row r="422" spans="4:14" x14ac:dyDescent="0.25">
      <c r="D422" s="147"/>
      <c r="J422" s="145"/>
      <c r="K422" s="149"/>
      <c r="L422" s="149"/>
      <c r="M422" s="146"/>
      <c r="N422" s="148"/>
    </row>
    <row r="423" spans="4:14" x14ac:dyDescent="0.25">
      <c r="D423" s="147"/>
      <c r="J423" s="145"/>
      <c r="K423" s="149"/>
      <c r="L423" s="149"/>
      <c r="M423" s="146"/>
      <c r="N423" s="148"/>
    </row>
    <row r="424" spans="4:14" x14ac:dyDescent="0.25">
      <c r="D424" s="147"/>
      <c r="J424" s="145"/>
      <c r="K424" s="149"/>
      <c r="L424" s="149"/>
      <c r="M424" s="146"/>
      <c r="N424" s="148"/>
    </row>
    <row r="425" spans="4:14" x14ac:dyDescent="0.25">
      <c r="D425" s="147"/>
      <c r="J425" s="145"/>
      <c r="K425" s="149"/>
      <c r="L425" s="149"/>
      <c r="M425" s="146"/>
      <c r="N425" s="148"/>
    </row>
    <row r="426" spans="4:14" x14ac:dyDescent="0.25">
      <c r="D426" s="147"/>
      <c r="J426" s="145"/>
      <c r="K426" s="149"/>
      <c r="L426" s="149"/>
      <c r="M426" s="146"/>
      <c r="N426" s="148"/>
    </row>
    <row r="427" spans="4:14" x14ac:dyDescent="0.25">
      <c r="D427" s="147"/>
      <c r="J427" s="145"/>
      <c r="K427" s="149"/>
      <c r="L427" s="149"/>
      <c r="M427" s="146"/>
      <c r="N427" s="148"/>
    </row>
    <row r="428" spans="4:14" x14ac:dyDescent="0.25">
      <c r="D428" s="147"/>
      <c r="J428" s="145"/>
      <c r="K428" s="149"/>
      <c r="L428" s="149"/>
      <c r="M428" s="146"/>
      <c r="N428" s="148"/>
    </row>
    <row r="429" spans="4:14" x14ac:dyDescent="0.25">
      <c r="D429" s="147"/>
      <c r="J429" s="145"/>
      <c r="K429" s="149"/>
      <c r="L429" s="149"/>
      <c r="M429" s="146"/>
      <c r="N429" s="148"/>
    </row>
    <row r="430" spans="4:14" x14ac:dyDescent="0.25">
      <c r="D430" s="147"/>
      <c r="J430" s="145"/>
      <c r="K430" s="149"/>
      <c r="L430" s="149"/>
      <c r="M430" s="146"/>
      <c r="N430" s="148"/>
    </row>
    <row r="431" spans="4:14" x14ac:dyDescent="0.25">
      <c r="D431" s="147"/>
      <c r="J431" s="145"/>
      <c r="K431" s="149"/>
      <c r="L431" s="149"/>
      <c r="M431" s="146"/>
      <c r="N431" s="148"/>
    </row>
    <row r="432" spans="4:14" x14ac:dyDescent="0.25">
      <c r="D432" s="147"/>
      <c r="J432" s="145"/>
      <c r="K432" s="149"/>
      <c r="L432" s="149"/>
      <c r="M432" s="146"/>
      <c r="N432" s="148"/>
    </row>
    <row r="433" spans="4:14" x14ac:dyDescent="0.25">
      <c r="D433" s="147"/>
      <c r="J433" s="145"/>
      <c r="K433" s="149"/>
      <c r="L433" s="149"/>
      <c r="M433" s="146"/>
      <c r="N433" s="148"/>
    </row>
    <row r="434" spans="4:14" x14ac:dyDescent="0.25">
      <c r="D434" s="147"/>
      <c r="J434" s="145"/>
      <c r="K434" s="149"/>
      <c r="L434" s="149"/>
      <c r="M434" s="146"/>
      <c r="N434" s="148"/>
    </row>
    <row r="435" spans="4:14" x14ac:dyDescent="0.25">
      <c r="D435" s="147"/>
      <c r="J435" s="145"/>
      <c r="K435" s="149"/>
      <c r="L435" s="149"/>
      <c r="M435" s="146"/>
      <c r="N435" s="148"/>
    </row>
    <row r="436" spans="4:14" x14ac:dyDescent="0.25">
      <c r="D436" s="147"/>
      <c r="J436" s="145"/>
      <c r="K436" s="149"/>
      <c r="L436" s="149"/>
      <c r="M436" s="146"/>
      <c r="N436" s="148"/>
    </row>
    <row r="437" spans="4:14" x14ac:dyDescent="0.25">
      <c r="D437" s="147"/>
      <c r="J437" s="145"/>
      <c r="K437" s="149"/>
      <c r="L437" s="149"/>
      <c r="M437" s="146"/>
      <c r="N437" s="148"/>
    </row>
    <row r="438" spans="4:14" x14ac:dyDescent="0.25">
      <c r="D438" s="147"/>
      <c r="J438" s="145"/>
      <c r="K438" s="149"/>
      <c r="L438" s="149"/>
      <c r="M438" s="146"/>
      <c r="N438" s="148"/>
    </row>
    <row r="439" spans="4:14" x14ac:dyDescent="0.25">
      <c r="D439" s="147"/>
      <c r="J439" s="145"/>
      <c r="K439" s="149"/>
      <c r="L439" s="149"/>
      <c r="M439" s="146"/>
      <c r="N439" s="148"/>
    </row>
    <row r="440" spans="4:14" x14ac:dyDescent="0.25">
      <c r="D440" s="147"/>
      <c r="J440" s="145"/>
      <c r="K440" s="149"/>
      <c r="L440" s="149"/>
      <c r="M440" s="146"/>
      <c r="N440" s="148"/>
    </row>
    <row r="441" spans="4:14" x14ac:dyDescent="0.25">
      <c r="D441" s="147"/>
      <c r="J441" s="145"/>
      <c r="K441" s="149"/>
      <c r="L441" s="149"/>
      <c r="M441" s="146"/>
      <c r="N441" s="148"/>
    </row>
    <row r="442" spans="4:14" x14ac:dyDescent="0.25">
      <c r="D442" s="147"/>
      <c r="J442" s="145"/>
      <c r="K442" s="149"/>
      <c r="L442" s="149"/>
      <c r="M442" s="146"/>
      <c r="N442" s="148"/>
    </row>
    <row r="443" spans="4:14" x14ac:dyDescent="0.25">
      <c r="D443" s="147"/>
      <c r="J443" s="145"/>
      <c r="K443" s="149"/>
      <c r="L443" s="149"/>
      <c r="M443" s="146"/>
      <c r="N443" s="148"/>
    </row>
    <row r="444" spans="4:14" x14ac:dyDescent="0.25">
      <c r="D444" s="147"/>
      <c r="J444" s="145"/>
      <c r="K444" s="149"/>
      <c r="L444" s="149"/>
      <c r="M444" s="146"/>
      <c r="N444" s="148"/>
    </row>
    <row r="445" spans="4:14" x14ac:dyDescent="0.25">
      <c r="D445" s="147"/>
      <c r="J445" s="145"/>
      <c r="K445" s="149"/>
      <c r="L445" s="149"/>
      <c r="M445" s="146"/>
      <c r="N445" s="148"/>
    </row>
    <row r="446" spans="4:14" x14ac:dyDescent="0.25">
      <c r="D446" s="147"/>
      <c r="J446" s="145"/>
      <c r="K446" s="149"/>
      <c r="L446" s="149"/>
      <c r="M446" s="146"/>
      <c r="N446" s="148"/>
    </row>
    <row r="447" spans="4:14" x14ac:dyDescent="0.25">
      <c r="D447" s="147"/>
      <c r="J447" s="145"/>
      <c r="K447" s="149"/>
      <c r="L447" s="149"/>
      <c r="M447" s="146"/>
      <c r="N447" s="148"/>
    </row>
    <row r="448" spans="4:14" x14ac:dyDescent="0.25">
      <c r="D448" s="147"/>
      <c r="J448" s="145"/>
      <c r="K448" s="149"/>
      <c r="L448" s="149"/>
      <c r="M448" s="146"/>
      <c r="N448" s="148"/>
    </row>
    <row r="449" spans="4:14" x14ac:dyDescent="0.25">
      <c r="D449" s="147"/>
      <c r="J449" s="145"/>
      <c r="K449" s="149"/>
      <c r="L449" s="149"/>
      <c r="M449" s="146"/>
      <c r="N449" s="148"/>
    </row>
    <row r="450" spans="4:14" x14ac:dyDescent="0.25">
      <c r="D450" s="147"/>
      <c r="J450" s="145"/>
      <c r="K450" s="149"/>
      <c r="L450" s="149"/>
      <c r="M450" s="146"/>
      <c r="N450" s="148"/>
    </row>
    <row r="451" spans="4:14" x14ac:dyDescent="0.25">
      <c r="D451" s="147"/>
      <c r="J451" s="145"/>
      <c r="K451" s="149"/>
      <c r="L451" s="149"/>
      <c r="M451" s="146"/>
      <c r="N451" s="148"/>
    </row>
    <row r="452" spans="4:14" x14ac:dyDescent="0.25">
      <c r="D452" s="147"/>
      <c r="J452" s="145"/>
      <c r="K452" s="149"/>
      <c r="L452" s="149"/>
      <c r="M452" s="146"/>
      <c r="N452" s="148"/>
    </row>
    <row r="453" spans="4:14" x14ac:dyDescent="0.25">
      <c r="D453" s="147"/>
      <c r="J453" s="145"/>
      <c r="K453" s="149"/>
      <c r="L453" s="149"/>
      <c r="M453" s="146"/>
      <c r="N453" s="148"/>
    </row>
    <row r="454" spans="4:14" x14ac:dyDescent="0.25">
      <c r="D454" s="147"/>
      <c r="J454" s="145"/>
      <c r="K454" s="149"/>
      <c r="L454" s="149"/>
      <c r="M454" s="146"/>
      <c r="N454" s="148"/>
    </row>
    <row r="455" spans="4:14" x14ac:dyDescent="0.25">
      <c r="D455" s="147"/>
      <c r="J455" s="145"/>
      <c r="K455" s="149"/>
      <c r="L455" s="149"/>
      <c r="M455" s="146"/>
      <c r="N455" s="148"/>
    </row>
    <row r="456" spans="4:14" x14ac:dyDescent="0.25">
      <c r="D456" s="147"/>
      <c r="J456" s="145"/>
      <c r="K456" s="149"/>
      <c r="L456" s="149"/>
      <c r="M456" s="146"/>
      <c r="N456" s="148"/>
    </row>
    <row r="457" spans="4:14" x14ac:dyDescent="0.25">
      <c r="D457" s="147"/>
      <c r="J457" s="145"/>
      <c r="K457" s="149"/>
      <c r="L457" s="149"/>
      <c r="M457" s="146"/>
      <c r="N457" s="148"/>
    </row>
    <row r="458" spans="4:14" x14ac:dyDescent="0.25">
      <c r="D458" s="147"/>
      <c r="J458" s="145"/>
      <c r="K458" s="149"/>
      <c r="L458" s="149"/>
      <c r="M458" s="146"/>
      <c r="N458" s="148"/>
    </row>
    <row r="459" spans="4:14" x14ac:dyDescent="0.25">
      <c r="D459" s="147"/>
      <c r="J459" s="145"/>
      <c r="K459" s="149"/>
      <c r="L459" s="149"/>
      <c r="M459" s="146"/>
      <c r="N459" s="148"/>
    </row>
    <row r="460" spans="4:14" x14ac:dyDescent="0.25">
      <c r="D460" s="147"/>
      <c r="J460" s="145"/>
      <c r="K460" s="149"/>
      <c r="L460" s="149"/>
      <c r="M460" s="146"/>
      <c r="N460" s="148"/>
    </row>
    <row r="461" spans="4:14" x14ac:dyDescent="0.25">
      <c r="D461" s="147"/>
      <c r="J461" s="145"/>
      <c r="K461" s="149"/>
      <c r="L461" s="149"/>
      <c r="M461" s="146"/>
      <c r="N461" s="148"/>
    </row>
    <row r="462" spans="4:14" x14ac:dyDescent="0.25">
      <c r="D462" s="147"/>
      <c r="J462" s="145"/>
      <c r="K462" s="149"/>
      <c r="L462" s="149"/>
      <c r="M462" s="146"/>
      <c r="N462" s="148"/>
    </row>
    <row r="463" spans="4:14" x14ac:dyDescent="0.25">
      <c r="D463" s="147"/>
      <c r="J463" s="145"/>
      <c r="K463" s="149"/>
      <c r="L463" s="149"/>
      <c r="M463" s="146"/>
      <c r="N463" s="148"/>
    </row>
    <row r="464" spans="4:14" x14ac:dyDescent="0.25">
      <c r="D464" s="147"/>
      <c r="J464" s="145"/>
      <c r="K464" s="149"/>
      <c r="L464" s="149"/>
      <c r="M464" s="146"/>
      <c r="N464" s="148"/>
    </row>
    <row r="465" spans="4:14" x14ac:dyDescent="0.25">
      <c r="D465" s="147"/>
      <c r="J465" s="145"/>
      <c r="K465" s="149"/>
      <c r="L465" s="149"/>
      <c r="M465" s="146"/>
      <c r="N465" s="148"/>
    </row>
    <row r="466" spans="4:14" x14ac:dyDescent="0.25">
      <c r="D466" s="147"/>
      <c r="J466" s="145"/>
      <c r="K466" s="149"/>
      <c r="L466" s="149"/>
      <c r="M466" s="146"/>
      <c r="N466" s="148"/>
    </row>
    <row r="467" spans="4:14" x14ac:dyDescent="0.25">
      <c r="D467" s="147"/>
      <c r="J467" s="145"/>
      <c r="K467" s="149"/>
      <c r="L467" s="149"/>
      <c r="M467" s="146"/>
      <c r="N467" s="148"/>
    </row>
    <row r="468" spans="4:14" x14ac:dyDescent="0.25">
      <c r="D468" s="147"/>
      <c r="J468" s="145"/>
      <c r="K468" s="149"/>
      <c r="L468" s="149"/>
      <c r="M468" s="146"/>
      <c r="N468" s="148"/>
    </row>
    <row r="469" spans="4:14" x14ac:dyDescent="0.25">
      <c r="D469" s="147"/>
      <c r="J469" s="145"/>
      <c r="K469" s="149"/>
      <c r="L469" s="149"/>
      <c r="M469" s="146"/>
      <c r="N469" s="148"/>
    </row>
    <row r="470" spans="4:14" x14ac:dyDescent="0.25">
      <c r="D470" s="147"/>
      <c r="J470" s="145"/>
      <c r="K470" s="149"/>
      <c r="L470" s="149"/>
      <c r="M470" s="146"/>
      <c r="N470" s="148"/>
    </row>
    <row r="471" spans="4:14" x14ac:dyDescent="0.25">
      <c r="D471" s="147"/>
      <c r="J471" s="145"/>
      <c r="K471" s="149"/>
      <c r="L471" s="149"/>
      <c r="M471" s="146"/>
      <c r="N471" s="148"/>
    </row>
    <row r="472" spans="4:14" x14ac:dyDescent="0.25">
      <c r="D472" s="147"/>
      <c r="J472" s="145"/>
      <c r="K472" s="149"/>
      <c r="L472" s="149"/>
      <c r="M472" s="146"/>
      <c r="N472" s="148"/>
    </row>
    <row r="473" spans="4:14" x14ac:dyDescent="0.25">
      <c r="D473" s="147"/>
      <c r="J473" s="145"/>
      <c r="K473" s="149"/>
      <c r="L473" s="149"/>
      <c r="M473" s="146"/>
      <c r="N473" s="148"/>
    </row>
    <row r="474" spans="4:14" x14ac:dyDescent="0.25">
      <c r="D474" s="147"/>
      <c r="J474" s="145"/>
      <c r="K474" s="149"/>
      <c r="L474" s="149"/>
      <c r="M474" s="146"/>
      <c r="N474" s="148"/>
    </row>
    <row r="475" spans="4:14" x14ac:dyDescent="0.25">
      <c r="D475" s="147"/>
      <c r="J475" s="145"/>
      <c r="K475" s="149"/>
      <c r="L475" s="149"/>
      <c r="M475" s="146"/>
      <c r="N475" s="148"/>
    </row>
    <row r="476" spans="4:14" x14ac:dyDescent="0.25">
      <c r="D476" s="147"/>
      <c r="J476" s="145"/>
      <c r="K476" s="149"/>
      <c r="L476" s="149"/>
      <c r="M476" s="146"/>
      <c r="N476" s="148"/>
    </row>
    <row r="477" spans="4:14" x14ac:dyDescent="0.25">
      <c r="D477" s="147"/>
      <c r="J477" s="145"/>
      <c r="K477" s="149"/>
      <c r="L477" s="149"/>
      <c r="M477" s="146"/>
      <c r="N477" s="148"/>
    </row>
    <row r="478" spans="4:14" x14ac:dyDescent="0.25">
      <c r="D478" s="147"/>
      <c r="J478" s="145"/>
      <c r="K478" s="149"/>
      <c r="L478" s="149"/>
      <c r="M478" s="146"/>
      <c r="N478" s="148"/>
    </row>
    <row r="479" spans="4:14" x14ac:dyDescent="0.25">
      <c r="D479" s="147"/>
      <c r="J479" s="145"/>
      <c r="K479" s="149"/>
      <c r="L479" s="149"/>
      <c r="M479" s="146"/>
      <c r="N479" s="148"/>
    </row>
    <row r="480" spans="4:14" x14ac:dyDescent="0.25">
      <c r="D480" s="147"/>
      <c r="J480" s="145"/>
      <c r="K480" s="149"/>
      <c r="L480" s="149"/>
      <c r="M480" s="146"/>
      <c r="N480" s="148"/>
    </row>
    <row r="481" spans="4:14" x14ac:dyDescent="0.25">
      <c r="D481" s="147"/>
      <c r="J481" s="145"/>
      <c r="K481" s="149"/>
      <c r="L481" s="149"/>
      <c r="M481" s="146"/>
      <c r="N481" s="148"/>
    </row>
    <row r="482" spans="4:14" x14ac:dyDescent="0.25">
      <c r="D482" s="147"/>
      <c r="J482" s="145"/>
      <c r="K482" s="149"/>
      <c r="L482" s="149"/>
      <c r="M482" s="146"/>
      <c r="N482" s="148"/>
    </row>
    <row r="483" spans="4:14" x14ac:dyDescent="0.25">
      <c r="D483" s="147"/>
      <c r="J483" s="145"/>
      <c r="K483" s="149"/>
      <c r="L483" s="149"/>
      <c r="M483" s="146"/>
      <c r="N483" s="148"/>
    </row>
    <row r="484" spans="4:14" x14ac:dyDescent="0.25">
      <c r="D484" s="147"/>
      <c r="J484" s="145"/>
      <c r="K484" s="149"/>
      <c r="L484" s="149"/>
      <c r="M484" s="146"/>
      <c r="N484" s="148"/>
    </row>
    <row r="485" spans="4:14" x14ac:dyDescent="0.25">
      <c r="D485" s="147"/>
      <c r="J485" s="145"/>
      <c r="K485" s="149"/>
      <c r="L485" s="149"/>
      <c r="M485" s="146"/>
      <c r="N485" s="148"/>
    </row>
    <row r="486" spans="4:14" x14ac:dyDescent="0.25">
      <c r="D486" s="147"/>
      <c r="J486" s="145"/>
      <c r="K486" s="149"/>
      <c r="L486" s="149"/>
      <c r="M486" s="146"/>
      <c r="N486" s="148"/>
    </row>
    <row r="487" spans="4:14" x14ac:dyDescent="0.25">
      <c r="D487" s="147"/>
      <c r="J487" s="145"/>
      <c r="K487" s="149"/>
      <c r="L487" s="149"/>
      <c r="M487" s="146"/>
      <c r="N487" s="148"/>
    </row>
    <row r="488" spans="4:14" x14ac:dyDescent="0.25">
      <c r="D488" s="147"/>
      <c r="J488" s="145"/>
      <c r="K488" s="149"/>
      <c r="L488" s="149"/>
      <c r="M488" s="146"/>
      <c r="N488" s="148"/>
    </row>
    <row r="489" spans="4:14" x14ac:dyDescent="0.25">
      <c r="D489" s="147"/>
      <c r="J489" s="145"/>
      <c r="K489" s="149"/>
      <c r="L489" s="149"/>
      <c r="M489" s="146"/>
      <c r="N489" s="148"/>
    </row>
    <row r="490" spans="4:14" x14ac:dyDescent="0.25">
      <c r="D490" s="147"/>
      <c r="J490" s="145"/>
      <c r="K490" s="149"/>
      <c r="L490" s="149"/>
      <c r="M490" s="146"/>
      <c r="N490" s="148"/>
    </row>
    <row r="491" spans="4:14" x14ac:dyDescent="0.25">
      <c r="D491" s="147"/>
      <c r="J491" s="145"/>
      <c r="K491" s="149"/>
      <c r="L491" s="149"/>
      <c r="M491" s="146"/>
      <c r="N491" s="148"/>
    </row>
    <row r="492" spans="4:14" x14ac:dyDescent="0.25">
      <c r="D492" s="147"/>
      <c r="J492" s="145"/>
      <c r="K492" s="149"/>
      <c r="L492" s="149"/>
      <c r="M492" s="146"/>
      <c r="N492" s="148"/>
    </row>
    <row r="493" spans="4:14" x14ac:dyDescent="0.25">
      <c r="D493" s="147"/>
      <c r="J493" s="145"/>
      <c r="K493" s="149"/>
      <c r="L493" s="149"/>
      <c r="M493" s="146"/>
      <c r="N493" s="148"/>
    </row>
    <row r="494" spans="4:14" x14ac:dyDescent="0.25">
      <c r="D494" s="147"/>
      <c r="J494" s="145"/>
      <c r="K494" s="149"/>
      <c r="L494" s="149"/>
      <c r="M494" s="146"/>
      <c r="N494" s="148"/>
    </row>
    <row r="495" spans="4:14" x14ac:dyDescent="0.25">
      <c r="D495" s="147"/>
      <c r="J495" s="145"/>
      <c r="K495" s="149"/>
      <c r="L495" s="149"/>
      <c r="M495" s="146"/>
      <c r="N495" s="148"/>
    </row>
    <row r="496" spans="4:14" x14ac:dyDescent="0.25">
      <c r="D496" s="147"/>
      <c r="J496" s="145"/>
      <c r="K496" s="149"/>
      <c r="L496" s="149"/>
      <c r="M496" s="146"/>
      <c r="N496" s="148"/>
    </row>
    <row r="497" spans="4:14" x14ac:dyDescent="0.25">
      <c r="D497" s="147"/>
      <c r="J497" s="145"/>
      <c r="K497" s="149"/>
      <c r="L497" s="149"/>
      <c r="M497" s="146"/>
      <c r="N497" s="148"/>
    </row>
    <row r="498" spans="4:14" x14ac:dyDescent="0.25">
      <c r="D498" s="147"/>
      <c r="J498" s="145"/>
      <c r="K498" s="149"/>
      <c r="L498" s="149"/>
      <c r="M498" s="146"/>
      <c r="N498" s="148"/>
    </row>
    <row r="499" spans="4:14" x14ac:dyDescent="0.25">
      <c r="D499" s="147"/>
      <c r="J499" s="145"/>
      <c r="K499" s="149"/>
      <c r="L499" s="149"/>
      <c r="M499" s="146"/>
      <c r="N499" s="148"/>
    </row>
    <row r="500" spans="4:14" x14ac:dyDescent="0.25">
      <c r="D500" s="147"/>
      <c r="J500" s="145"/>
      <c r="K500" s="149"/>
      <c r="L500" s="149"/>
      <c r="M500" s="146"/>
      <c r="N500" s="148"/>
    </row>
    <row r="501" spans="4:14" x14ac:dyDescent="0.25">
      <c r="D501" s="147"/>
      <c r="J501" s="145"/>
      <c r="K501" s="149"/>
      <c r="L501" s="149"/>
      <c r="M501" s="146"/>
      <c r="N501" s="148"/>
    </row>
    <row r="502" spans="4:14" x14ac:dyDescent="0.25">
      <c r="D502" s="147"/>
      <c r="J502" s="145"/>
      <c r="K502" s="149"/>
      <c r="L502" s="149"/>
      <c r="M502" s="146"/>
      <c r="N502" s="148"/>
    </row>
    <row r="503" spans="4:14" x14ac:dyDescent="0.25">
      <c r="D503" s="147"/>
      <c r="J503" s="145"/>
      <c r="K503" s="149"/>
      <c r="L503" s="149"/>
      <c r="M503" s="146"/>
      <c r="N503" s="148"/>
    </row>
    <row r="504" spans="4:14" x14ac:dyDescent="0.25">
      <c r="D504" s="147"/>
      <c r="J504" s="145"/>
      <c r="K504" s="149"/>
      <c r="L504" s="149"/>
      <c r="M504" s="146"/>
      <c r="N504" s="148"/>
    </row>
    <row r="505" spans="4:14" x14ac:dyDescent="0.25">
      <c r="D505" s="147"/>
      <c r="J505" s="145"/>
      <c r="K505" s="149"/>
      <c r="L505" s="149"/>
      <c r="M505" s="146"/>
      <c r="N505" s="148"/>
    </row>
    <row r="506" spans="4:14" x14ac:dyDescent="0.25">
      <c r="D506" s="147"/>
      <c r="J506" s="145"/>
      <c r="K506" s="149"/>
      <c r="L506" s="149"/>
      <c r="M506" s="146"/>
      <c r="N506" s="148"/>
    </row>
    <row r="507" spans="4:14" x14ac:dyDescent="0.25">
      <c r="D507" s="147"/>
      <c r="J507" s="145"/>
      <c r="K507" s="149"/>
      <c r="L507" s="149"/>
      <c r="M507" s="146"/>
      <c r="N507" s="148"/>
    </row>
    <row r="508" spans="4:14" x14ac:dyDescent="0.25">
      <c r="D508" s="147"/>
      <c r="J508" s="145"/>
      <c r="K508" s="149"/>
      <c r="L508" s="149"/>
      <c r="M508" s="146"/>
      <c r="N508" s="148"/>
    </row>
    <row r="509" spans="4:14" x14ac:dyDescent="0.25">
      <c r="D509" s="147"/>
      <c r="J509" s="145"/>
      <c r="K509" s="149"/>
      <c r="L509" s="149"/>
      <c r="M509" s="146"/>
      <c r="N509" s="148"/>
    </row>
    <row r="510" spans="4:14" x14ac:dyDescent="0.25">
      <c r="D510" s="147"/>
      <c r="J510" s="145"/>
      <c r="K510" s="149"/>
      <c r="L510" s="149"/>
      <c r="M510" s="146"/>
      <c r="N510" s="148"/>
    </row>
    <row r="511" spans="4:14" x14ac:dyDescent="0.25">
      <c r="D511" s="147"/>
      <c r="J511" s="145"/>
      <c r="K511" s="149"/>
      <c r="L511" s="149"/>
      <c r="M511" s="146"/>
      <c r="N511" s="148"/>
    </row>
    <row r="512" spans="4:14" x14ac:dyDescent="0.25">
      <c r="D512" s="147"/>
      <c r="J512" s="145"/>
      <c r="K512" s="149"/>
      <c r="L512" s="149"/>
      <c r="M512" s="146"/>
      <c r="N512" s="148"/>
    </row>
    <row r="513" spans="4:14" x14ac:dyDescent="0.25">
      <c r="D513" s="147"/>
      <c r="J513" s="145"/>
      <c r="K513" s="149"/>
      <c r="L513" s="149"/>
      <c r="M513" s="146"/>
      <c r="N513" s="148"/>
    </row>
    <row r="514" spans="4:14" x14ac:dyDescent="0.25">
      <c r="D514" s="147"/>
      <c r="J514" s="145"/>
      <c r="K514" s="149"/>
      <c r="L514" s="149"/>
      <c r="M514" s="146"/>
      <c r="N514" s="148"/>
    </row>
    <row r="515" spans="4:14" x14ac:dyDescent="0.25">
      <c r="D515" s="147"/>
      <c r="J515" s="145"/>
      <c r="K515" s="149"/>
      <c r="L515" s="149"/>
      <c r="M515" s="146"/>
      <c r="N515" s="148"/>
    </row>
    <row r="516" spans="4:14" x14ac:dyDescent="0.25">
      <c r="D516" s="147"/>
      <c r="J516" s="145"/>
      <c r="K516" s="149"/>
      <c r="L516" s="149"/>
      <c r="M516" s="146"/>
      <c r="N516" s="148"/>
    </row>
    <row r="517" spans="4:14" x14ac:dyDescent="0.25">
      <c r="D517" s="147"/>
      <c r="J517" s="145"/>
      <c r="K517" s="149"/>
      <c r="L517" s="149"/>
      <c r="M517" s="146"/>
      <c r="N517" s="148"/>
    </row>
    <row r="518" spans="4:14" x14ac:dyDescent="0.25">
      <c r="D518" s="147"/>
      <c r="J518" s="145"/>
      <c r="K518" s="149"/>
      <c r="L518" s="149"/>
      <c r="M518" s="146"/>
      <c r="N518" s="148"/>
    </row>
    <row r="519" spans="4:14" x14ac:dyDescent="0.25">
      <c r="D519" s="147"/>
      <c r="J519" s="145"/>
      <c r="K519" s="149"/>
      <c r="L519" s="149"/>
      <c r="M519" s="146"/>
      <c r="N519" s="148"/>
    </row>
    <row r="520" spans="4:14" x14ac:dyDescent="0.25">
      <c r="D520" s="147"/>
      <c r="J520" s="145"/>
      <c r="K520" s="149"/>
      <c r="L520" s="149"/>
      <c r="M520" s="146"/>
      <c r="N520" s="148"/>
    </row>
    <row r="521" spans="4:14" x14ac:dyDescent="0.25">
      <c r="D521" s="147"/>
      <c r="J521" s="145"/>
      <c r="K521" s="149"/>
      <c r="L521" s="149"/>
      <c r="M521" s="146"/>
      <c r="N521" s="148"/>
    </row>
    <row r="522" spans="4:14" x14ac:dyDescent="0.25">
      <c r="D522" s="147"/>
      <c r="J522" s="145"/>
      <c r="L522" s="149"/>
      <c r="M522" s="146"/>
      <c r="N522" s="148"/>
    </row>
    <row r="523" spans="4:14" x14ac:dyDescent="0.25">
      <c r="D523" s="147"/>
      <c r="J523" s="145"/>
      <c r="L523" s="149"/>
      <c r="M523" s="146"/>
      <c r="N523" s="148"/>
    </row>
    <row r="524" spans="4:14" x14ac:dyDescent="0.25">
      <c r="D524" s="147"/>
      <c r="J524" s="145"/>
      <c r="L524" s="149"/>
      <c r="M524" s="146"/>
      <c r="N524" s="148"/>
    </row>
    <row r="525" spans="4:14" x14ac:dyDescent="0.25">
      <c r="D525" s="147"/>
      <c r="J525" s="145"/>
      <c r="L525" s="149"/>
      <c r="M525" s="146"/>
      <c r="N525" s="148"/>
    </row>
    <row r="526" spans="4:14" x14ac:dyDescent="0.25">
      <c r="D526" s="147"/>
      <c r="J526" s="145"/>
      <c r="L526" s="149"/>
      <c r="M526" s="146"/>
      <c r="N526" s="148"/>
    </row>
    <row r="527" spans="4:14" x14ac:dyDescent="0.25">
      <c r="D527" s="147"/>
      <c r="J527" s="145"/>
      <c r="L527" s="149"/>
      <c r="M527" s="146"/>
      <c r="N527" s="148"/>
    </row>
    <row r="528" spans="4:14" x14ac:dyDescent="0.25">
      <c r="D528" s="147"/>
      <c r="J528" s="145"/>
      <c r="L528" s="149"/>
      <c r="M528" s="146"/>
      <c r="N528" s="148"/>
    </row>
    <row r="529" spans="4:14" x14ac:dyDescent="0.25">
      <c r="D529" s="147"/>
      <c r="J529" s="145"/>
      <c r="L529" s="149"/>
      <c r="M529" s="146"/>
      <c r="N529" s="148"/>
    </row>
    <row r="530" spans="4:14" x14ac:dyDescent="0.25">
      <c r="D530" s="147"/>
      <c r="J530" s="145"/>
      <c r="L530" s="149"/>
      <c r="M530" s="146"/>
      <c r="N530" s="148"/>
    </row>
    <row r="531" spans="4:14" x14ac:dyDescent="0.25">
      <c r="D531" s="147"/>
      <c r="J531" s="145"/>
      <c r="L531" s="149"/>
      <c r="M531" s="146"/>
      <c r="N531" s="148"/>
    </row>
    <row r="532" spans="4:14" x14ac:dyDescent="0.25">
      <c r="D532" s="147"/>
      <c r="J532" s="145"/>
      <c r="L532" s="149"/>
      <c r="M532" s="146"/>
      <c r="N532" s="148"/>
    </row>
    <row r="533" spans="4:14" x14ac:dyDescent="0.25">
      <c r="D533" s="147"/>
      <c r="J533" s="145"/>
      <c r="L533" s="149"/>
      <c r="M533" s="146"/>
      <c r="N533" s="148"/>
    </row>
    <row r="534" spans="4:14" x14ac:dyDescent="0.25">
      <c r="D534" s="147"/>
      <c r="J534" s="145"/>
      <c r="L534" s="149"/>
      <c r="M534" s="146"/>
      <c r="N534" s="148"/>
    </row>
    <row r="535" spans="4:14" x14ac:dyDescent="0.25">
      <c r="D535" s="147"/>
      <c r="J535" s="145"/>
      <c r="L535" s="149"/>
      <c r="M535" s="146"/>
      <c r="N535" s="148"/>
    </row>
    <row r="536" spans="4:14" x14ac:dyDescent="0.25">
      <c r="D536" s="147"/>
      <c r="J536" s="145"/>
      <c r="L536" s="149"/>
      <c r="M536" s="146"/>
      <c r="N536" s="148"/>
    </row>
    <row r="537" spans="4:14" x14ac:dyDescent="0.25">
      <c r="D537" s="147"/>
      <c r="J537" s="145"/>
      <c r="L537" s="149"/>
      <c r="M537" s="146"/>
      <c r="N537" s="148"/>
    </row>
    <row r="538" spans="4:14" x14ac:dyDescent="0.25">
      <c r="D538" s="147"/>
      <c r="J538" s="145"/>
      <c r="L538" s="149"/>
      <c r="M538" s="146"/>
      <c r="N538" s="148"/>
    </row>
    <row r="539" spans="4:14" x14ac:dyDescent="0.25">
      <c r="D539" s="147"/>
      <c r="J539" s="145"/>
      <c r="L539" s="149"/>
      <c r="M539" s="146"/>
      <c r="N539" s="148"/>
    </row>
    <row r="540" spans="4:14" x14ac:dyDescent="0.25">
      <c r="D540" s="147"/>
      <c r="J540" s="145"/>
      <c r="L540" s="149"/>
      <c r="M540" s="146"/>
      <c r="N540" s="148"/>
    </row>
    <row r="541" spans="4:14" x14ac:dyDescent="0.25">
      <c r="D541" s="147"/>
      <c r="J541" s="145"/>
      <c r="L541" s="149"/>
      <c r="M541" s="146"/>
      <c r="N541" s="148"/>
    </row>
    <row r="542" spans="4:14" x14ac:dyDescent="0.25">
      <c r="D542" s="147"/>
      <c r="J542" s="145"/>
      <c r="L542" s="149"/>
      <c r="M542" s="146"/>
      <c r="N542" s="148"/>
    </row>
    <row r="543" spans="4:14" x14ac:dyDescent="0.25">
      <c r="D543" s="147"/>
      <c r="J543" s="145"/>
      <c r="L543" s="149"/>
      <c r="M543" s="146"/>
      <c r="N543" s="148"/>
    </row>
    <row r="544" spans="4:14" x14ac:dyDescent="0.25">
      <c r="D544" s="147"/>
      <c r="J544" s="145"/>
      <c r="L544" s="149"/>
      <c r="M544" s="146"/>
      <c r="N544" s="148"/>
    </row>
    <row r="545" spans="4:14" x14ac:dyDescent="0.25">
      <c r="D545" s="147"/>
      <c r="J545" s="145"/>
      <c r="L545" s="149"/>
      <c r="M545" s="146"/>
      <c r="N545" s="148"/>
    </row>
    <row r="546" spans="4:14" x14ac:dyDescent="0.25">
      <c r="D546" s="147"/>
      <c r="J546" s="145"/>
      <c r="L546" s="149"/>
      <c r="M546" s="146"/>
      <c r="N546" s="148"/>
    </row>
    <row r="547" spans="4:14" x14ac:dyDescent="0.25">
      <c r="D547" s="147"/>
      <c r="J547" s="145"/>
      <c r="L547" s="149"/>
      <c r="M547" s="146"/>
      <c r="N547" s="148"/>
    </row>
    <row r="548" spans="4:14" x14ac:dyDescent="0.25">
      <c r="D548" s="147"/>
      <c r="J548" s="145"/>
      <c r="L548" s="149"/>
      <c r="M548" s="146"/>
      <c r="N548" s="148"/>
    </row>
    <row r="549" spans="4:14" x14ac:dyDescent="0.25">
      <c r="D549" s="147"/>
      <c r="J549" s="145"/>
      <c r="L549" s="149"/>
      <c r="M549" s="146"/>
      <c r="N549" s="148"/>
    </row>
    <row r="550" spans="4:14" x14ac:dyDescent="0.25">
      <c r="D550" s="147"/>
      <c r="J550" s="145"/>
      <c r="L550" s="149"/>
      <c r="M550" s="146"/>
      <c r="N550" s="148"/>
    </row>
    <row r="551" spans="4:14" x14ac:dyDescent="0.25">
      <c r="D551" s="147"/>
      <c r="J551" s="145"/>
      <c r="L551" s="149"/>
      <c r="M551" s="146"/>
      <c r="N551" s="148"/>
    </row>
    <row r="552" spans="4:14" x14ac:dyDescent="0.25">
      <c r="D552" s="147"/>
      <c r="J552" s="145"/>
      <c r="L552" s="149"/>
      <c r="M552" s="146"/>
      <c r="N552" s="148"/>
    </row>
    <row r="553" spans="4:14" x14ac:dyDescent="0.25">
      <c r="D553" s="147"/>
      <c r="J553" s="145"/>
      <c r="L553" s="149"/>
      <c r="M553" s="146"/>
      <c r="N553" s="148"/>
    </row>
    <row r="554" spans="4:14" x14ac:dyDescent="0.25">
      <c r="D554" s="147"/>
      <c r="J554" s="145"/>
      <c r="L554" s="149"/>
      <c r="M554" s="146"/>
      <c r="N554" s="148"/>
    </row>
    <row r="555" spans="4:14" x14ac:dyDescent="0.25">
      <c r="D555" s="147"/>
      <c r="J555" s="145"/>
      <c r="L555" s="149"/>
      <c r="M555" s="146"/>
      <c r="N555" s="148"/>
    </row>
    <row r="556" spans="4:14" x14ac:dyDescent="0.25">
      <c r="D556" s="147"/>
      <c r="J556" s="144"/>
      <c r="L556" s="149"/>
      <c r="M556" s="146"/>
      <c r="N556" s="148"/>
    </row>
    <row r="557" spans="4:14" x14ac:dyDescent="0.25">
      <c r="D557" s="147"/>
      <c r="J557" s="144"/>
      <c r="L557" s="149"/>
      <c r="M557" s="146"/>
      <c r="N557" s="148"/>
    </row>
    <row r="558" spans="4:14" x14ac:dyDescent="0.25">
      <c r="D558" s="147"/>
      <c r="J558" s="144"/>
      <c r="L558" s="149"/>
      <c r="M558" s="146"/>
      <c r="N558" s="148"/>
    </row>
    <row r="559" spans="4:14" x14ac:dyDescent="0.25">
      <c r="D559" s="147"/>
      <c r="J559" s="144"/>
      <c r="L559" s="149"/>
      <c r="M559" s="146"/>
      <c r="N559" s="148"/>
    </row>
    <row r="560" spans="4:14" x14ac:dyDescent="0.25">
      <c r="D560" s="147"/>
      <c r="J560" s="144"/>
      <c r="L560" s="149"/>
      <c r="M560" s="146"/>
      <c r="N560" s="148"/>
    </row>
    <row r="561" spans="4:14" x14ac:dyDescent="0.25">
      <c r="D561" s="147"/>
      <c r="J561" s="144"/>
      <c r="L561" s="149"/>
      <c r="M561" s="146"/>
      <c r="N561" s="148"/>
    </row>
    <row r="562" spans="4:14" x14ac:dyDescent="0.25">
      <c r="D562" s="147"/>
      <c r="J562" s="144"/>
      <c r="L562" s="149"/>
      <c r="M562" s="146"/>
      <c r="N562" s="148"/>
    </row>
    <row r="563" spans="4:14" x14ac:dyDescent="0.25">
      <c r="D563" s="147"/>
      <c r="J563" s="144"/>
      <c r="L563" s="149"/>
      <c r="M563" s="146"/>
      <c r="N563" s="148"/>
    </row>
    <row r="564" spans="4:14" x14ac:dyDescent="0.25">
      <c r="D564" s="147"/>
      <c r="J564" s="144"/>
      <c r="L564" s="149"/>
      <c r="M564" s="146"/>
      <c r="N564" s="148"/>
    </row>
    <row r="565" spans="4:14" x14ac:dyDescent="0.25">
      <c r="D565" s="147"/>
      <c r="J565" s="144"/>
      <c r="L565" s="149"/>
      <c r="M565" s="146"/>
      <c r="N565" s="148"/>
    </row>
    <row r="566" spans="4:14" x14ac:dyDescent="0.25">
      <c r="D566" s="147"/>
      <c r="J566" s="144"/>
      <c r="L566" s="149"/>
      <c r="M566" s="146"/>
      <c r="N566" s="148"/>
    </row>
    <row r="567" spans="4:14" x14ac:dyDescent="0.25">
      <c r="D567" s="147"/>
      <c r="J567" s="144"/>
      <c r="L567" s="149"/>
      <c r="M567" s="146"/>
      <c r="N567" s="148"/>
    </row>
    <row r="568" spans="4:14" x14ac:dyDescent="0.25">
      <c r="D568" s="147"/>
      <c r="J568" s="144"/>
      <c r="L568" s="149"/>
      <c r="M568" s="146"/>
      <c r="N568" s="148"/>
    </row>
    <row r="569" spans="4:14" x14ac:dyDescent="0.25">
      <c r="D569" s="147"/>
      <c r="J569" s="144"/>
      <c r="L569" s="149"/>
      <c r="N569" s="148"/>
    </row>
    <row r="570" spans="4:14" x14ac:dyDescent="0.25">
      <c r="D570" s="147"/>
      <c r="J570" s="144"/>
      <c r="L570" s="149"/>
      <c r="N570" s="148"/>
    </row>
    <row r="571" spans="4:14" x14ac:dyDescent="0.25">
      <c r="J571" s="144"/>
      <c r="L571" s="149"/>
    </row>
    <row r="572" spans="4:14" x14ac:dyDescent="0.25">
      <c r="J572" s="144"/>
      <c r="L572" s="149"/>
    </row>
    <row r="573" spans="4:14" x14ac:dyDescent="0.25">
      <c r="J573" s="144"/>
    </row>
    <row r="574" spans="4:14" x14ac:dyDescent="0.25">
      <c r="J574" s="144"/>
    </row>
    <row r="575" spans="4:14" x14ac:dyDescent="0.25">
      <c r="J575" s="144"/>
    </row>
    <row r="576" spans="4:14" x14ac:dyDescent="0.25">
      <c r="J576" s="144"/>
    </row>
    <row r="577" spans="10:10" x14ac:dyDescent="0.25">
      <c r="J577" s="144"/>
    </row>
    <row r="578" spans="10:10" x14ac:dyDescent="0.25">
      <c r="J578" s="144"/>
    </row>
  </sheetData>
  <mergeCells count="3">
    <mergeCell ref="E5:I5"/>
    <mergeCell ref="D7:E7"/>
    <mergeCell ref="I7:J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8" r:id="rId3" name="Button 6">
              <controlPr defaultSize="0" print="0" autoFill="0" autoPict="0" macro="[0]!SWAP.swap">
                <anchor moveWithCells="1" sizeWithCells="1">
                  <from>
                    <xdr:col>12</xdr:col>
                    <xdr:colOff>495300</xdr:colOff>
                    <xdr:row>5</xdr:row>
                    <xdr:rowOff>47625</xdr:rowOff>
                  </from>
                  <to>
                    <xdr:col>14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ClearSwap">
                <anchor moveWithCells="1" sizeWithCells="1">
                  <from>
                    <xdr:col>12</xdr:col>
                    <xdr:colOff>476250</xdr:colOff>
                    <xdr:row>10</xdr:row>
                    <xdr:rowOff>133350</xdr:rowOff>
                  </from>
                  <to>
                    <xdr:col>14</xdr:col>
                    <xdr:colOff>352425</xdr:colOff>
                    <xdr:row>14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222900-F167-453E-B771-896DDC813771}">
          <x14:formula1>
            <xm:f>Data!$E$2:$G$2</xm:f>
          </x14:formula1>
          <xm:sqref>J20:J21 E20:E21</xm:sqref>
        </x14:dataValidation>
        <x14:dataValidation type="list" allowBlank="1" showInputMessage="1" showErrorMessage="1" xr:uid="{C3D45C47-1A67-4EC2-939A-0FEDB45ADF7C}">
          <x14:formula1>
            <xm:f>Data!$K$2:$M$2</xm:f>
          </x14:formula1>
          <xm:sqref>J23</xm:sqref>
        </x14:dataValidation>
        <x14:dataValidation type="list" allowBlank="1" showInputMessage="1" showErrorMessage="1" xr:uid="{6481AF65-C8B9-4E83-983F-03D0690E367E}">
          <x14:formula1>
            <xm:f>Data!$P$3:$P$6</xm:f>
          </x14:formula1>
          <xm:sqref>J17</xm:sqref>
        </x14:dataValidation>
        <x14:dataValidation type="list" allowBlank="1" showInputMessage="1" showErrorMessage="1" xr:uid="{3F99335E-880D-4E5E-B737-887B9A5DAD20}">
          <x14:formula1>
            <xm:f>Data!$A$3:$A$6</xm:f>
          </x14:formula1>
          <xm:sqref>E15 J15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4B8A47-158A-4A34-A0BD-4A9CD5C2CF2C}">
  <sheetPr codeName="Feuil3"/>
  <dimension ref="A1:Q114"/>
  <sheetViews>
    <sheetView topLeftCell="E1" workbookViewId="0">
      <selection activeCell="H21" sqref="H21"/>
    </sheetView>
  </sheetViews>
  <sheetFormatPr baseColWidth="10" defaultRowHeight="15" x14ac:dyDescent="0.25"/>
  <cols>
    <col min="1" max="1" width="16" customWidth="1"/>
    <col min="5" max="5" width="17.7109375" customWidth="1"/>
    <col min="6" max="6" width="16.28515625" customWidth="1"/>
    <col min="7" max="7" width="14.28515625" customWidth="1"/>
    <col min="11" max="11" width="13.5703125" style="1" customWidth="1"/>
    <col min="12" max="12" width="14.5703125" style="1" customWidth="1"/>
    <col min="13" max="13" width="14.42578125" style="1" customWidth="1"/>
    <col min="16" max="16" width="16.85546875" customWidth="1"/>
  </cols>
  <sheetData>
    <row r="1" spans="1:17" x14ac:dyDescent="0.25">
      <c r="A1" s="130" t="s">
        <v>5</v>
      </c>
      <c r="D1" s="118"/>
      <c r="E1" s="170" t="s">
        <v>54</v>
      </c>
      <c r="F1" s="171"/>
      <c r="G1" s="172"/>
      <c r="K1" s="170" t="s">
        <v>50</v>
      </c>
      <c r="L1" s="171"/>
      <c r="M1" s="172"/>
    </row>
    <row r="2" spans="1:17" x14ac:dyDescent="0.25">
      <c r="D2" s="117"/>
      <c r="E2" s="110" t="str">
        <f>"Curve_Flat_"&amp;E3</f>
        <v>Curve_Flat_0,07</v>
      </c>
      <c r="F2" s="110" t="s">
        <v>24</v>
      </c>
      <c r="G2" s="110" t="s">
        <v>49</v>
      </c>
      <c r="K2" s="110" t="s">
        <v>51</v>
      </c>
      <c r="L2" s="110" t="s">
        <v>52</v>
      </c>
      <c r="M2" s="110" t="s">
        <v>53</v>
      </c>
      <c r="P2" s="154" t="s">
        <v>61</v>
      </c>
      <c r="Q2" s="155"/>
    </row>
    <row r="3" spans="1:17" x14ac:dyDescent="0.25">
      <c r="A3" s="114" t="s">
        <v>19</v>
      </c>
      <c r="C3">
        <v>1</v>
      </c>
      <c r="D3" s="114" t="str">
        <f>C3&amp;"M"</f>
        <v>1M</v>
      </c>
      <c r="E3" s="125">
        <v>7.0000000000000007E-2</v>
      </c>
      <c r="F3" s="126">
        <f>4.1%</f>
        <v>4.0999999999999995E-2</v>
      </c>
      <c r="G3" s="127">
        <v>1.4999999999999999E-2</v>
      </c>
      <c r="J3" s="111" t="str">
        <f t="shared" ref="J3:J34" si="0">D3</f>
        <v>1M</v>
      </c>
      <c r="K3" s="119">
        <v>0.01</v>
      </c>
      <c r="L3" s="120">
        <v>1.0200000000000001E-2</v>
      </c>
      <c r="M3" s="121">
        <v>1.01E-2</v>
      </c>
      <c r="P3" s="131" t="s">
        <v>57</v>
      </c>
      <c r="Q3" s="127">
        <v>3.8330000000000003E-2</v>
      </c>
    </row>
    <row r="4" spans="1:17" x14ac:dyDescent="0.25">
      <c r="A4" s="115" t="s">
        <v>20</v>
      </c>
      <c r="C4">
        <v>2</v>
      </c>
      <c r="D4" s="115" t="str">
        <f t="shared" ref="D4:D67" si="1">C4&amp;"M"</f>
        <v>2M</v>
      </c>
      <c r="E4" s="119">
        <v>7.0000000000000007E-2</v>
      </c>
      <c r="F4" s="120">
        <f>F3+0.0001</f>
        <v>4.1099999999999998E-2</v>
      </c>
      <c r="G4" s="128">
        <f>G3+0.005%</f>
        <v>1.5049999999999999E-2</v>
      </c>
      <c r="J4" s="112" t="str">
        <f t="shared" si="0"/>
        <v>2M</v>
      </c>
      <c r="K4" s="119">
        <f>K3+0.01%</f>
        <v>1.01E-2</v>
      </c>
      <c r="L4" s="120">
        <f>L3+0.05%</f>
        <v>1.0700000000000001E-2</v>
      </c>
      <c r="M4" s="121">
        <f>M3+0.03%</f>
        <v>1.04E-2</v>
      </c>
      <c r="P4" s="132" t="s">
        <v>58</v>
      </c>
      <c r="Q4" s="128">
        <v>3.925E-2</v>
      </c>
    </row>
    <row r="5" spans="1:17" x14ac:dyDescent="0.25">
      <c r="A5" s="115" t="s">
        <v>21</v>
      </c>
      <c r="C5">
        <v>3</v>
      </c>
      <c r="D5" s="115" t="str">
        <f t="shared" si="1"/>
        <v>3M</v>
      </c>
      <c r="E5" s="119">
        <v>7.0000000000000007E-2</v>
      </c>
      <c r="F5" s="120">
        <f t="shared" ref="F5:F68" si="2">F4+0.0001</f>
        <v>4.1200000000000001E-2</v>
      </c>
      <c r="G5" s="128">
        <f t="shared" ref="G5:G68" si="3">G4+0.005%</f>
        <v>1.5099999999999999E-2</v>
      </c>
      <c r="J5" s="112" t="str">
        <f t="shared" si="0"/>
        <v>3M</v>
      </c>
      <c r="K5" s="119">
        <f t="shared" ref="K5:K68" si="4">K4+0.01%</f>
        <v>1.0199999999999999E-2</v>
      </c>
      <c r="L5" s="120">
        <f t="shared" ref="L5:L68" si="5">L4+0.05%</f>
        <v>1.1200000000000002E-2</v>
      </c>
      <c r="M5" s="121">
        <f t="shared" ref="M5:M68" si="6">M4+0.03%</f>
        <v>1.0699999999999999E-2</v>
      </c>
      <c r="P5" s="132" t="s">
        <v>59</v>
      </c>
      <c r="Q5" s="128">
        <v>3.9449999999999999E-2</v>
      </c>
    </row>
    <row r="6" spans="1:17" x14ac:dyDescent="0.25">
      <c r="A6" s="116" t="s">
        <v>23</v>
      </c>
      <c r="C6">
        <v>4</v>
      </c>
      <c r="D6" s="115" t="str">
        <f t="shared" si="1"/>
        <v>4M</v>
      </c>
      <c r="E6" s="119">
        <v>7.0000000000000007E-2</v>
      </c>
      <c r="F6" s="120">
        <f t="shared" si="2"/>
        <v>4.1300000000000003E-2</v>
      </c>
      <c r="G6" s="128">
        <f t="shared" si="3"/>
        <v>1.5149999999999999E-2</v>
      </c>
      <c r="J6" s="112" t="str">
        <f t="shared" si="0"/>
        <v>4M</v>
      </c>
      <c r="K6" s="119">
        <f t="shared" si="4"/>
        <v>1.0299999999999998E-2</v>
      </c>
      <c r="L6" s="120">
        <f t="shared" si="5"/>
        <v>1.1700000000000002E-2</v>
      </c>
      <c r="M6" s="121">
        <f t="shared" si="6"/>
        <v>1.0999999999999999E-2</v>
      </c>
      <c r="P6" s="133" t="s">
        <v>60</v>
      </c>
      <c r="Q6" s="129">
        <v>3.7190000000000001E-2</v>
      </c>
    </row>
    <row r="7" spans="1:17" x14ac:dyDescent="0.25">
      <c r="C7">
        <v>5</v>
      </c>
      <c r="D7" s="115" t="str">
        <f t="shared" si="1"/>
        <v>5M</v>
      </c>
      <c r="E7" s="119">
        <v>7.0000000000000007E-2</v>
      </c>
      <c r="F7" s="120">
        <f t="shared" si="2"/>
        <v>4.1400000000000006E-2</v>
      </c>
      <c r="G7" s="128">
        <f t="shared" si="3"/>
        <v>1.5199999999999998E-2</v>
      </c>
      <c r="J7" s="112" t="str">
        <f t="shared" si="0"/>
        <v>5M</v>
      </c>
      <c r="K7" s="119">
        <f t="shared" si="4"/>
        <v>1.0399999999999998E-2</v>
      </c>
      <c r="L7" s="120">
        <f t="shared" si="5"/>
        <v>1.2200000000000003E-2</v>
      </c>
      <c r="M7" s="121">
        <f t="shared" si="6"/>
        <v>1.1299999999999999E-2</v>
      </c>
    </row>
    <row r="8" spans="1:17" x14ac:dyDescent="0.25">
      <c r="C8">
        <v>6</v>
      </c>
      <c r="D8" s="115" t="str">
        <f t="shared" si="1"/>
        <v>6M</v>
      </c>
      <c r="E8" s="119">
        <v>7.0000000000000007E-2</v>
      </c>
      <c r="F8" s="120">
        <f t="shared" si="2"/>
        <v>4.1500000000000009E-2</v>
      </c>
      <c r="G8" s="128">
        <f t="shared" si="3"/>
        <v>1.5249999999999998E-2</v>
      </c>
      <c r="J8" s="112" t="str">
        <f t="shared" si="0"/>
        <v>6M</v>
      </c>
      <c r="K8" s="119">
        <f t="shared" si="4"/>
        <v>1.0499999999999997E-2</v>
      </c>
      <c r="L8" s="120">
        <f t="shared" si="5"/>
        <v>1.2700000000000003E-2</v>
      </c>
      <c r="M8" s="121">
        <f t="shared" si="6"/>
        <v>1.1599999999999999E-2</v>
      </c>
    </row>
    <row r="9" spans="1:17" x14ac:dyDescent="0.25">
      <c r="C9">
        <v>7</v>
      </c>
      <c r="D9" s="115" t="str">
        <f t="shared" si="1"/>
        <v>7M</v>
      </c>
      <c r="E9" s="119">
        <v>7.0000000000000007E-2</v>
      </c>
      <c r="F9" s="120">
        <f t="shared" si="2"/>
        <v>4.1600000000000012E-2</v>
      </c>
      <c r="G9" s="128">
        <f t="shared" si="3"/>
        <v>1.5299999999999998E-2</v>
      </c>
      <c r="J9" s="112" t="str">
        <f t="shared" si="0"/>
        <v>7M</v>
      </c>
      <c r="K9" s="119">
        <f t="shared" si="4"/>
        <v>1.0599999999999997E-2</v>
      </c>
      <c r="L9" s="120">
        <f t="shared" si="5"/>
        <v>1.3200000000000003E-2</v>
      </c>
      <c r="M9" s="121">
        <f t="shared" si="6"/>
        <v>1.1899999999999999E-2</v>
      </c>
    </row>
    <row r="10" spans="1:17" x14ac:dyDescent="0.25">
      <c r="C10">
        <v>8</v>
      </c>
      <c r="D10" s="115" t="str">
        <f t="shared" si="1"/>
        <v>8M</v>
      </c>
      <c r="E10" s="119">
        <v>7.0000000000000007E-2</v>
      </c>
      <c r="F10" s="120">
        <f t="shared" si="2"/>
        <v>4.1700000000000015E-2</v>
      </c>
      <c r="G10" s="128">
        <f t="shared" si="3"/>
        <v>1.5349999999999997E-2</v>
      </c>
      <c r="J10" s="112" t="str">
        <f t="shared" si="0"/>
        <v>8M</v>
      </c>
      <c r="K10" s="119">
        <f t="shared" si="4"/>
        <v>1.0699999999999996E-2</v>
      </c>
      <c r="L10" s="120">
        <f t="shared" si="5"/>
        <v>1.3700000000000004E-2</v>
      </c>
      <c r="M10" s="121">
        <f t="shared" si="6"/>
        <v>1.2199999999999999E-2</v>
      </c>
    </row>
    <row r="11" spans="1:17" x14ac:dyDescent="0.25">
      <c r="C11">
        <v>9</v>
      </c>
      <c r="D11" s="115" t="str">
        <f t="shared" si="1"/>
        <v>9M</v>
      </c>
      <c r="E11" s="119">
        <v>7.0000000000000007E-2</v>
      </c>
      <c r="F11" s="120">
        <f t="shared" si="2"/>
        <v>4.1800000000000018E-2</v>
      </c>
      <c r="G11" s="128">
        <f t="shared" si="3"/>
        <v>1.5399999999999997E-2</v>
      </c>
      <c r="J11" s="112" t="str">
        <f t="shared" si="0"/>
        <v>9M</v>
      </c>
      <c r="K11" s="119">
        <f t="shared" si="4"/>
        <v>1.0799999999999995E-2</v>
      </c>
      <c r="L11" s="120">
        <f t="shared" si="5"/>
        <v>1.4200000000000004E-2</v>
      </c>
      <c r="M11" s="121">
        <f t="shared" si="6"/>
        <v>1.2499999999999999E-2</v>
      </c>
    </row>
    <row r="12" spans="1:17" x14ac:dyDescent="0.25">
      <c r="C12">
        <v>10</v>
      </c>
      <c r="D12" s="115" t="str">
        <f t="shared" si="1"/>
        <v>10M</v>
      </c>
      <c r="E12" s="119">
        <v>7.0000000000000007E-2</v>
      </c>
      <c r="F12" s="120">
        <f t="shared" si="2"/>
        <v>4.1900000000000021E-2</v>
      </c>
      <c r="G12" s="128">
        <f t="shared" si="3"/>
        <v>1.5449999999999997E-2</v>
      </c>
      <c r="J12" s="112" t="str">
        <f t="shared" si="0"/>
        <v>10M</v>
      </c>
      <c r="K12" s="119">
        <f t="shared" si="4"/>
        <v>1.0899999999999995E-2</v>
      </c>
      <c r="L12" s="120">
        <f t="shared" si="5"/>
        <v>1.4700000000000005E-2</v>
      </c>
      <c r="M12" s="121">
        <f t="shared" si="6"/>
        <v>1.2799999999999999E-2</v>
      </c>
    </row>
    <row r="13" spans="1:17" x14ac:dyDescent="0.25">
      <c r="C13">
        <v>11</v>
      </c>
      <c r="D13" s="115" t="str">
        <f t="shared" si="1"/>
        <v>11M</v>
      </c>
      <c r="E13" s="119">
        <v>7.0000000000000007E-2</v>
      </c>
      <c r="F13" s="120">
        <f t="shared" si="2"/>
        <v>4.2000000000000023E-2</v>
      </c>
      <c r="G13" s="128">
        <f t="shared" si="3"/>
        <v>1.5499999999999996E-2</v>
      </c>
      <c r="J13" s="112" t="str">
        <f t="shared" si="0"/>
        <v>11M</v>
      </c>
      <c r="K13" s="119">
        <f t="shared" si="4"/>
        <v>1.0999999999999994E-2</v>
      </c>
      <c r="L13" s="120">
        <f t="shared" si="5"/>
        <v>1.5200000000000005E-2</v>
      </c>
      <c r="M13" s="121">
        <f t="shared" si="6"/>
        <v>1.3099999999999999E-2</v>
      </c>
    </row>
    <row r="14" spans="1:17" x14ac:dyDescent="0.25">
      <c r="C14">
        <v>12</v>
      </c>
      <c r="D14" s="115" t="str">
        <f t="shared" si="1"/>
        <v>12M</v>
      </c>
      <c r="E14" s="119">
        <v>7.0000000000000007E-2</v>
      </c>
      <c r="F14" s="120">
        <f t="shared" si="2"/>
        <v>4.2100000000000026E-2</v>
      </c>
      <c r="G14" s="128">
        <f t="shared" si="3"/>
        <v>1.5549999999999996E-2</v>
      </c>
      <c r="J14" s="112" t="str">
        <f t="shared" si="0"/>
        <v>12M</v>
      </c>
      <c r="K14" s="119">
        <f t="shared" si="4"/>
        <v>1.1099999999999994E-2</v>
      </c>
      <c r="L14" s="120">
        <f t="shared" si="5"/>
        <v>1.5700000000000006E-2</v>
      </c>
      <c r="M14" s="121">
        <f t="shared" si="6"/>
        <v>1.3399999999999999E-2</v>
      </c>
    </row>
    <row r="15" spans="1:17" x14ac:dyDescent="0.25">
      <c r="C15">
        <v>13</v>
      </c>
      <c r="D15" s="115" t="str">
        <f t="shared" si="1"/>
        <v>13M</v>
      </c>
      <c r="E15" s="119">
        <v>7.0000000000000007E-2</v>
      </c>
      <c r="F15" s="120">
        <f t="shared" si="2"/>
        <v>4.2200000000000029E-2</v>
      </c>
      <c r="G15" s="128">
        <f t="shared" si="3"/>
        <v>1.5599999999999996E-2</v>
      </c>
      <c r="J15" s="112" t="str">
        <f t="shared" si="0"/>
        <v>13M</v>
      </c>
      <c r="K15" s="119">
        <f t="shared" si="4"/>
        <v>1.1199999999999993E-2</v>
      </c>
      <c r="L15" s="120">
        <f t="shared" si="5"/>
        <v>1.6200000000000006E-2</v>
      </c>
      <c r="M15" s="121">
        <f t="shared" si="6"/>
        <v>1.3699999999999999E-2</v>
      </c>
    </row>
    <row r="16" spans="1:17" x14ac:dyDescent="0.25">
      <c r="C16">
        <v>14</v>
      </c>
      <c r="D16" s="115" t="str">
        <f t="shared" si="1"/>
        <v>14M</v>
      </c>
      <c r="E16" s="119">
        <v>7.0000000000000007E-2</v>
      </c>
      <c r="F16" s="120">
        <f t="shared" si="2"/>
        <v>4.2300000000000032E-2</v>
      </c>
      <c r="G16" s="128">
        <f t="shared" si="3"/>
        <v>1.5649999999999997E-2</v>
      </c>
      <c r="J16" s="112" t="str">
        <f t="shared" si="0"/>
        <v>14M</v>
      </c>
      <c r="K16" s="119">
        <f t="shared" si="4"/>
        <v>1.1299999999999992E-2</v>
      </c>
      <c r="L16" s="120">
        <f t="shared" si="5"/>
        <v>1.6700000000000007E-2</v>
      </c>
      <c r="M16" s="121">
        <f t="shared" si="6"/>
        <v>1.3999999999999999E-2</v>
      </c>
    </row>
    <row r="17" spans="3:13" x14ac:dyDescent="0.25">
      <c r="C17">
        <v>15</v>
      </c>
      <c r="D17" s="115" t="str">
        <f t="shared" si="1"/>
        <v>15M</v>
      </c>
      <c r="E17" s="119">
        <v>7.0000000000000007E-2</v>
      </c>
      <c r="F17" s="120">
        <f t="shared" si="2"/>
        <v>4.2400000000000035E-2</v>
      </c>
      <c r="G17" s="128">
        <f t="shared" si="3"/>
        <v>1.5699999999999999E-2</v>
      </c>
      <c r="J17" s="112" t="str">
        <f t="shared" si="0"/>
        <v>15M</v>
      </c>
      <c r="K17" s="119">
        <f t="shared" si="4"/>
        <v>1.1399999999999992E-2</v>
      </c>
      <c r="L17" s="120">
        <f t="shared" si="5"/>
        <v>1.7200000000000007E-2</v>
      </c>
      <c r="M17" s="121">
        <f t="shared" si="6"/>
        <v>1.4299999999999998E-2</v>
      </c>
    </row>
    <row r="18" spans="3:13" x14ac:dyDescent="0.25">
      <c r="C18">
        <v>16</v>
      </c>
      <c r="D18" s="115" t="str">
        <f t="shared" si="1"/>
        <v>16M</v>
      </c>
      <c r="E18" s="119">
        <v>7.0000000000000007E-2</v>
      </c>
      <c r="F18" s="120">
        <f t="shared" si="2"/>
        <v>4.2500000000000038E-2</v>
      </c>
      <c r="G18" s="128">
        <f t="shared" si="3"/>
        <v>1.575E-2</v>
      </c>
      <c r="J18" s="112" t="str">
        <f t="shared" si="0"/>
        <v>16M</v>
      </c>
      <c r="K18" s="119">
        <f t="shared" si="4"/>
        <v>1.1499999999999991E-2</v>
      </c>
      <c r="L18" s="120">
        <f t="shared" si="5"/>
        <v>1.7700000000000007E-2</v>
      </c>
      <c r="M18" s="121">
        <f t="shared" si="6"/>
        <v>1.4599999999999998E-2</v>
      </c>
    </row>
    <row r="19" spans="3:13" x14ac:dyDescent="0.25">
      <c r="C19">
        <v>17</v>
      </c>
      <c r="D19" s="115" t="str">
        <f t="shared" si="1"/>
        <v>17M</v>
      </c>
      <c r="E19" s="119">
        <v>7.0000000000000007E-2</v>
      </c>
      <c r="F19" s="120">
        <f t="shared" si="2"/>
        <v>4.2600000000000041E-2</v>
      </c>
      <c r="G19" s="128">
        <f t="shared" si="3"/>
        <v>1.5800000000000002E-2</v>
      </c>
      <c r="J19" s="112" t="str">
        <f t="shared" si="0"/>
        <v>17M</v>
      </c>
      <c r="K19" s="119">
        <f t="shared" si="4"/>
        <v>1.1599999999999991E-2</v>
      </c>
      <c r="L19" s="120">
        <f t="shared" si="5"/>
        <v>1.8200000000000008E-2</v>
      </c>
      <c r="M19" s="121">
        <f t="shared" si="6"/>
        <v>1.4899999999999998E-2</v>
      </c>
    </row>
    <row r="20" spans="3:13" x14ac:dyDescent="0.25">
      <c r="C20">
        <v>18</v>
      </c>
      <c r="D20" s="115" t="str">
        <f t="shared" si="1"/>
        <v>18M</v>
      </c>
      <c r="E20" s="119">
        <v>7.0000000000000007E-2</v>
      </c>
      <c r="F20" s="120">
        <f t="shared" si="2"/>
        <v>4.2700000000000043E-2</v>
      </c>
      <c r="G20" s="128">
        <f t="shared" si="3"/>
        <v>1.5850000000000003E-2</v>
      </c>
      <c r="J20" s="112" t="str">
        <f t="shared" si="0"/>
        <v>18M</v>
      </c>
      <c r="K20" s="119">
        <f t="shared" si="4"/>
        <v>1.169999999999999E-2</v>
      </c>
      <c r="L20" s="120">
        <f t="shared" si="5"/>
        <v>1.8700000000000008E-2</v>
      </c>
      <c r="M20" s="121">
        <f t="shared" si="6"/>
        <v>1.5199999999999998E-2</v>
      </c>
    </row>
    <row r="21" spans="3:13" x14ac:dyDescent="0.25">
      <c r="C21">
        <v>19</v>
      </c>
      <c r="D21" s="115" t="str">
        <f t="shared" si="1"/>
        <v>19M</v>
      </c>
      <c r="E21" s="119">
        <v>7.0000000000000007E-2</v>
      </c>
      <c r="F21" s="120">
        <f t="shared" si="2"/>
        <v>4.2800000000000046E-2</v>
      </c>
      <c r="G21" s="128">
        <f t="shared" si="3"/>
        <v>1.5900000000000004E-2</v>
      </c>
      <c r="J21" s="112" t="str">
        <f t="shared" si="0"/>
        <v>19M</v>
      </c>
      <c r="K21" s="119">
        <f t="shared" si="4"/>
        <v>1.1799999999999989E-2</v>
      </c>
      <c r="L21" s="120">
        <f t="shared" si="5"/>
        <v>1.9200000000000009E-2</v>
      </c>
      <c r="M21" s="121">
        <f t="shared" si="6"/>
        <v>1.5499999999999998E-2</v>
      </c>
    </row>
    <row r="22" spans="3:13" x14ac:dyDescent="0.25">
      <c r="C22">
        <v>20</v>
      </c>
      <c r="D22" s="115" t="str">
        <f t="shared" si="1"/>
        <v>20M</v>
      </c>
      <c r="E22" s="119">
        <v>7.0000000000000007E-2</v>
      </c>
      <c r="F22" s="120">
        <f t="shared" si="2"/>
        <v>4.2900000000000049E-2</v>
      </c>
      <c r="G22" s="128">
        <f t="shared" si="3"/>
        <v>1.5950000000000006E-2</v>
      </c>
      <c r="J22" s="112" t="str">
        <f t="shared" si="0"/>
        <v>20M</v>
      </c>
      <c r="K22" s="119">
        <f t="shared" si="4"/>
        <v>1.1899999999999989E-2</v>
      </c>
      <c r="L22" s="120">
        <f t="shared" si="5"/>
        <v>1.9700000000000009E-2</v>
      </c>
      <c r="M22" s="121">
        <f t="shared" si="6"/>
        <v>1.5799999999999998E-2</v>
      </c>
    </row>
    <row r="23" spans="3:13" x14ac:dyDescent="0.25">
      <c r="C23">
        <v>21</v>
      </c>
      <c r="D23" s="115" t="str">
        <f t="shared" si="1"/>
        <v>21M</v>
      </c>
      <c r="E23" s="119">
        <v>7.0000000000000007E-2</v>
      </c>
      <c r="F23" s="120">
        <f t="shared" si="2"/>
        <v>4.3000000000000052E-2</v>
      </c>
      <c r="G23" s="128">
        <f t="shared" si="3"/>
        <v>1.6000000000000007E-2</v>
      </c>
      <c r="J23" s="112" t="str">
        <f t="shared" si="0"/>
        <v>21M</v>
      </c>
      <c r="K23" s="119">
        <f t="shared" si="4"/>
        <v>1.1999999999999988E-2</v>
      </c>
      <c r="L23" s="120">
        <f t="shared" si="5"/>
        <v>2.020000000000001E-2</v>
      </c>
      <c r="M23" s="121">
        <f t="shared" si="6"/>
        <v>1.61E-2</v>
      </c>
    </row>
    <row r="24" spans="3:13" x14ac:dyDescent="0.25">
      <c r="C24">
        <v>22</v>
      </c>
      <c r="D24" s="115" t="str">
        <f t="shared" si="1"/>
        <v>22M</v>
      </c>
      <c r="E24" s="119">
        <v>7.0000000000000007E-2</v>
      </c>
      <c r="F24" s="120">
        <f t="shared" si="2"/>
        <v>4.3100000000000055E-2</v>
      </c>
      <c r="G24" s="128">
        <f t="shared" si="3"/>
        <v>1.6050000000000009E-2</v>
      </c>
      <c r="J24" s="112" t="str">
        <f t="shared" si="0"/>
        <v>22M</v>
      </c>
      <c r="K24" s="119">
        <f t="shared" si="4"/>
        <v>1.2099999999999988E-2</v>
      </c>
      <c r="L24" s="120">
        <f t="shared" si="5"/>
        <v>2.070000000000001E-2</v>
      </c>
      <c r="M24" s="121">
        <f t="shared" si="6"/>
        <v>1.6400000000000001E-2</v>
      </c>
    </row>
    <row r="25" spans="3:13" x14ac:dyDescent="0.25">
      <c r="C25">
        <v>23</v>
      </c>
      <c r="D25" s="115" t="str">
        <f t="shared" si="1"/>
        <v>23M</v>
      </c>
      <c r="E25" s="119">
        <v>7.0000000000000007E-2</v>
      </c>
      <c r="F25" s="120">
        <f t="shared" si="2"/>
        <v>4.3200000000000058E-2</v>
      </c>
      <c r="G25" s="128">
        <f t="shared" si="3"/>
        <v>1.610000000000001E-2</v>
      </c>
      <c r="J25" s="112" t="str">
        <f t="shared" si="0"/>
        <v>23M</v>
      </c>
      <c r="K25" s="119">
        <f t="shared" si="4"/>
        <v>1.2199999999999987E-2</v>
      </c>
      <c r="L25" s="120">
        <f t="shared" si="5"/>
        <v>2.1200000000000011E-2</v>
      </c>
      <c r="M25" s="121">
        <f t="shared" si="6"/>
        <v>1.6700000000000003E-2</v>
      </c>
    </row>
    <row r="26" spans="3:13" x14ac:dyDescent="0.25">
      <c r="C26">
        <v>24</v>
      </c>
      <c r="D26" s="115" t="str">
        <f t="shared" si="1"/>
        <v>24M</v>
      </c>
      <c r="E26" s="119">
        <v>7.0000000000000007E-2</v>
      </c>
      <c r="F26" s="120">
        <f t="shared" si="2"/>
        <v>4.3300000000000061E-2</v>
      </c>
      <c r="G26" s="128">
        <f t="shared" si="3"/>
        <v>1.6150000000000012E-2</v>
      </c>
      <c r="J26" s="112" t="str">
        <f t="shared" si="0"/>
        <v>24M</v>
      </c>
      <c r="K26" s="119">
        <f t="shared" si="4"/>
        <v>1.2299999999999986E-2</v>
      </c>
      <c r="L26" s="120">
        <f t="shared" si="5"/>
        <v>2.1700000000000011E-2</v>
      </c>
      <c r="M26" s="121">
        <f t="shared" si="6"/>
        <v>1.7000000000000005E-2</v>
      </c>
    </row>
    <row r="27" spans="3:13" x14ac:dyDescent="0.25">
      <c r="C27">
        <v>25</v>
      </c>
      <c r="D27" s="115" t="str">
        <f t="shared" si="1"/>
        <v>25M</v>
      </c>
      <c r="E27" s="119">
        <v>7.0000000000000007E-2</v>
      </c>
      <c r="F27" s="120">
        <f t="shared" si="2"/>
        <v>4.3400000000000064E-2</v>
      </c>
      <c r="G27" s="128">
        <f t="shared" si="3"/>
        <v>1.6200000000000013E-2</v>
      </c>
      <c r="J27" s="112" t="str">
        <f t="shared" si="0"/>
        <v>25M</v>
      </c>
      <c r="K27" s="119">
        <f t="shared" si="4"/>
        <v>1.2399999999999986E-2</v>
      </c>
      <c r="L27" s="120">
        <f t="shared" si="5"/>
        <v>2.2200000000000011E-2</v>
      </c>
      <c r="M27" s="121">
        <f t="shared" si="6"/>
        <v>1.7300000000000006E-2</v>
      </c>
    </row>
    <row r="28" spans="3:13" x14ac:dyDescent="0.25">
      <c r="C28">
        <v>26</v>
      </c>
      <c r="D28" s="115" t="str">
        <f t="shared" si="1"/>
        <v>26M</v>
      </c>
      <c r="E28" s="119">
        <v>7.0000000000000007E-2</v>
      </c>
      <c r="F28" s="120">
        <f t="shared" si="2"/>
        <v>4.3500000000000066E-2</v>
      </c>
      <c r="G28" s="128">
        <f t="shared" si="3"/>
        <v>1.6250000000000014E-2</v>
      </c>
      <c r="J28" s="112" t="str">
        <f t="shared" si="0"/>
        <v>26M</v>
      </c>
      <c r="K28" s="119">
        <f t="shared" si="4"/>
        <v>1.2499999999999985E-2</v>
      </c>
      <c r="L28" s="120">
        <f t="shared" si="5"/>
        <v>2.2700000000000012E-2</v>
      </c>
      <c r="M28" s="121">
        <f t="shared" si="6"/>
        <v>1.7600000000000008E-2</v>
      </c>
    </row>
    <row r="29" spans="3:13" x14ac:dyDescent="0.25">
      <c r="C29">
        <v>27</v>
      </c>
      <c r="D29" s="115" t="str">
        <f t="shared" si="1"/>
        <v>27M</v>
      </c>
      <c r="E29" s="119">
        <v>7.0000000000000007E-2</v>
      </c>
      <c r="F29" s="120">
        <f t="shared" si="2"/>
        <v>4.3600000000000069E-2</v>
      </c>
      <c r="G29" s="128">
        <f t="shared" si="3"/>
        <v>1.6300000000000016E-2</v>
      </c>
      <c r="J29" s="112" t="str">
        <f t="shared" si="0"/>
        <v>27M</v>
      </c>
      <c r="K29" s="119">
        <f t="shared" si="4"/>
        <v>1.2599999999999984E-2</v>
      </c>
      <c r="L29" s="120">
        <f t="shared" si="5"/>
        <v>2.3200000000000012E-2</v>
      </c>
      <c r="M29" s="121">
        <f t="shared" si="6"/>
        <v>1.790000000000001E-2</v>
      </c>
    </row>
    <row r="30" spans="3:13" x14ac:dyDescent="0.25">
      <c r="C30">
        <v>28</v>
      </c>
      <c r="D30" s="115" t="str">
        <f t="shared" si="1"/>
        <v>28M</v>
      </c>
      <c r="E30" s="119">
        <v>7.0000000000000007E-2</v>
      </c>
      <c r="F30" s="120">
        <f t="shared" si="2"/>
        <v>4.3700000000000072E-2</v>
      </c>
      <c r="G30" s="128">
        <f t="shared" si="3"/>
        <v>1.6350000000000017E-2</v>
      </c>
      <c r="J30" s="112" t="str">
        <f t="shared" si="0"/>
        <v>28M</v>
      </c>
      <c r="K30" s="119">
        <f t="shared" si="4"/>
        <v>1.2699999999999984E-2</v>
      </c>
      <c r="L30" s="120">
        <f t="shared" si="5"/>
        <v>2.3700000000000013E-2</v>
      </c>
      <c r="M30" s="121">
        <f t="shared" si="6"/>
        <v>1.8200000000000011E-2</v>
      </c>
    </row>
    <row r="31" spans="3:13" x14ac:dyDescent="0.25">
      <c r="C31">
        <v>29</v>
      </c>
      <c r="D31" s="115" t="str">
        <f t="shared" si="1"/>
        <v>29M</v>
      </c>
      <c r="E31" s="119">
        <v>7.0000000000000007E-2</v>
      </c>
      <c r="F31" s="120">
        <f t="shared" si="2"/>
        <v>4.3800000000000075E-2</v>
      </c>
      <c r="G31" s="128">
        <f t="shared" si="3"/>
        <v>1.6400000000000019E-2</v>
      </c>
      <c r="J31" s="112" t="str">
        <f t="shared" si="0"/>
        <v>29M</v>
      </c>
      <c r="K31" s="119">
        <f t="shared" si="4"/>
        <v>1.2799999999999983E-2</v>
      </c>
      <c r="L31" s="120">
        <f t="shared" si="5"/>
        <v>2.4200000000000013E-2</v>
      </c>
      <c r="M31" s="121">
        <f t="shared" si="6"/>
        <v>1.8500000000000013E-2</v>
      </c>
    </row>
    <row r="32" spans="3:13" x14ac:dyDescent="0.25">
      <c r="C32">
        <v>30</v>
      </c>
      <c r="D32" s="115" t="str">
        <f t="shared" si="1"/>
        <v>30M</v>
      </c>
      <c r="E32" s="119">
        <v>7.0000000000000007E-2</v>
      </c>
      <c r="F32" s="120">
        <f t="shared" si="2"/>
        <v>4.3900000000000078E-2</v>
      </c>
      <c r="G32" s="128">
        <f t="shared" si="3"/>
        <v>1.645000000000002E-2</v>
      </c>
      <c r="J32" s="112" t="str">
        <f t="shared" si="0"/>
        <v>30M</v>
      </c>
      <c r="K32" s="119">
        <f t="shared" si="4"/>
        <v>1.2899999999999983E-2</v>
      </c>
      <c r="L32" s="120">
        <f t="shared" si="5"/>
        <v>2.4700000000000014E-2</v>
      </c>
      <c r="M32" s="121">
        <f t="shared" si="6"/>
        <v>1.8800000000000015E-2</v>
      </c>
    </row>
    <row r="33" spans="3:13" x14ac:dyDescent="0.25">
      <c r="C33">
        <v>31</v>
      </c>
      <c r="D33" s="115" t="str">
        <f t="shared" si="1"/>
        <v>31M</v>
      </c>
      <c r="E33" s="119">
        <v>7.0000000000000007E-2</v>
      </c>
      <c r="F33" s="120">
        <f t="shared" si="2"/>
        <v>4.4000000000000081E-2</v>
      </c>
      <c r="G33" s="128">
        <f t="shared" si="3"/>
        <v>1.6500000000000022E-2</v>
      </c>
      <c r="J33" s="112" t="str">
        <f t="shared" si="0"/>
        <v>31M</v>
      </c>
      <c r="K33" s="119">
        <f t="shared" si="4"/>
        <v>1.2999999999999982E-2</v>
      </c>
      <c r="L33" s="120">
        <f t="shared" si="5"/>
        <v>2.5200000000000014E-2</v>
      </c>
      <c r="M33" s="121">
        <f t="shared" si="6"/>
        <v>1.9100000000000016E-2</v>
      </c>
    </row>
    <row r="34" spans="3:13" x14ac:dyDescent="0.25">
      <c r="C34">
        <v>32</v>
      </c>
      <c r="D34" s="115" t="str">
        <f t="shared" si="1"/>
        <v>32M</v>
      </c>
      <c r="E34" s="119">
        <v>7.0000000000000007E-2</v>
      </c>
      <c r="F34" s="120">
        <f t="shared" si="2"/>
        <v>4.4100000000000084E-2</v>
      </c>
      <c r="G34" s="128">
        <f t="shared" si="3"/>
        <v>1.6550000000000023E-2</v>
      </c>
      <c r="J34" s="112" t="str">
        <f t="shared" si="0"/>
        <v>32M</v>
      </c>
      <c r="K34" s="119">
        <f t="shared" si="4"/>
        <v>1.3099999999999981E-2</v>
      </c>
      <c r="L34" s="120">
        <f t="shared" si="5"/>
        <v>2.5700000000000014E-2</v>
      </c>
      <c r="M34" s="121">
        <f t="shared" si="6"/>
        <v>1.9400000000000018E-2</v>
      </c>
    </row>
    <row r="35" spans="3:13" x14ac:dyDescent="0.25">
      <c r="C35">
        <v>33</v>
      </c>
      <c r="D35" s="115" t="str">
        <f t="shared" si="1"/>
        <v>33M</v>
      </c>
      <c r="E35" s="119">
        <v>7.0000000000000007E-2</v>
      </c>
      <c r="F35" s="120">
        <f t="shared" si="2"/>
        <v>4.4200000000000086E-2</v>
      </c>
      <c r="G35" s="128">
        <f t="shared" si="3"/>
        <v>1.6600000000000024E-2</v>
      </c>
      <c r="J35" s="112" t="str">
        <f t="shared" ref="J35:J66" si="7">D35</f>
        <v>33M</v>
      </c>
      <c r="K35" s="119">
        <f t="shared" si="4"/>
        <v>1.3199999999999981E-2</v>
      </c>
      <c r="L35" s="120">
        <f t="shared" si="5"/>
        <v>2.6200000000000015E-2</v>
      </c>
      <c r="M35" s="121">
        <f t="shared" si="6"/>
        <v>1.970000000000002E-2</v>
      </c>
    </row>
    <row r="36" spans="3:13" x14ac:dyDescent="0.25">
      <c r="C36">
        <v>34</v>
      </c>
      <c r="D36" s="115" t="str">
        <f t="shared" si="1"/>
        <v>34M</v>
      </c>
      <c r="E36" s="119">
        <v>7.0000000000000007E-2</v>
      </c>
      <c r="F36" s="120">
        <f t="shared" si="2"/>
        <v>4.4300000000000089E-2</v>
      </c>
      <c r="G36" s="128">
        <f t="shared" si="3"/>
        <v>1.6650000000000026E-2</v>
      </c>
      <c r="J36" s="112" t="str">
        <f t="shared" si="7"/>
        <v>34M</v>
      </c>
      <c r="K36" s="119">
        <f t="shared" si="4"/>
        <v>1.329999999999998E-2</v>
      </c>
      <c r="L36" s="120">
        <f t="shared" si="5"/>
        <v>2.6700000000000015E-2</v>
      </c>
      <c r="M36" s="121">
        <f t="shared" si="6"/>
        <v>2.0000000000000021E-2</v>
      </c>
    </row>
    <row r="37" spans="3:13" x14ac:dyDescent="0.25">
      <c r="C37">
        <v>35</v>
      </c>
      <c r="D37" s="115" t="str">
        <f t="shared" si="1"/>
        <v>35M</v>
      </c>
      <c r="E37" s="119">
        <v>7.0000000000000007E-2</v>
      </c>
      <c r="F37" s="120">
        <f t="shared" si="2"/>
        <v>4.4400000000000092E-2</v>
      </c>
      <c r="G37" s="128">
        <f t="shared" si="3"/>
        <v>1.6700000000000027E-2</v>
      </c>
      <c r="J37" s="112" t="str">
        <f t="shared" si="7"/>
        <v>35M</v>
      </c>
      <c r="K37" s="119">
        <f t="shared" si="4"/>
        <v>1.339999999999998E-2</v>
      </c>
      <c r="L37" s="120">
        <f t="shared" si="5"/>
        <v>2.7200000000000016E-2</v>
      </c>
      <c r="M37" s="121">
        <f t="shared" si="6"/>
        <v>2.0300000000000023E-2</v>
      </c>
    </row>
    <row r="38" spans="3:13" x14ac:dyDescent="0.25">
      <c r="C38">
        <v>36</v>
      </c>
      <c r="D38" s="115" t="str">
        <f t="shared" si="1"/>
        <v>36M</v>
      </c>
      <c r="E38" s="119">
        <v>7.0000000000000007E-2</v>
      </c>
      <c r="F38" s="120">
        <f t="shared" si="2"/>
        <v>4.4500000000000095E-2</v>
      </c>
      <c r="G38" s="128">
        <f t="shared" si="3"/>
        <v>1.6750000000000029E-2</v>
      </c>
      <c r="J38" s="112" t="str">
        <f t="shared" si="7"/>
        <v>36M</v>
      </c>
      <c r="K38" s="119">
        <f t="shared" si="4"/>
        <v>1.3499999999999979E-2</v>
      </c>
      <c r="L38" s="120">
        <f t="shared" si="5"/>
        <v>2.7700000000000016E-2</v>
      </c>
      <c r="M38" s="121">
        <f t="shared" si="6"/>
        <v>2.0600000000000025E-2</v>
      </c>
    </row>
    <row r="39" spans="3:13" x14ac:dyDescent="0.25">
      <c r="C39">
        <v>37</v>
      </c>
      <c r="D39" s="115" t="str">
        <f t="shared" si="1"/>
        <v>37M</v>
      </c>
      <c r="E39" s="119">
        <v>7.0000000000000007E-2</v>
      </c>
      <c r="F39" s="120">
        <f t="shared" si="2"/>
        <v>4.4600000000000098E-2</v>
      </c>
      <c r="G39" s="128">
        <f t="shared" si="3"/>
        <v>1.680000000000003E-2</v>
      </c>
      <c r="J39" s="112" t="str">
        <f t="shared" si="7"/>
        <v>37M</v>
      </c>
      <c r="K39" s="119">
        <f t="shared" si="4"/>
        <v>1.3599999999999978E-2</v>
      </c>
      <c r="L39" s="120">
        <f t="shared" si="5"/>
        <v>2.8200000000000017E-2</v>
      </c>
      <c r="M39" s="121">
        <f t="shared" si="6"/>
        <v>2.0900000000000026E-2</v>
      </c>
    </row>
    <row r="40" spans="3:13" x14ac:dyDescent="0.25">
      <c r="C40">
        <v>38</v>
      </c>
      <c r="D40" s="115" t="str">
        <f t="shared" si="1"/>
        <v>38M</v>
      </c>
      <c r="E40" s="119">
        <v>7.0000000000000007E-2</v>
      </c>
      <c r="F40" s="120">
        <f t="shared" si="2"/>
        <v>4.4700000000000101E-2</v>
      </c>
      <c r="G40" s="128">
        <f t="shared" si="3"/>
        <v>1.6850000000000032E-2</v>
      </c>
      <c r="J40" s="112" t="str">
        <f t="shared" si="7"/>
        <v>38M</v>
      </c>
      <c r="K40" s="119">
        <f t="shared" si="4"/>
        <v>1.3699999999999978E-2</v>
      </c>
      <c r="L40" s="120">
        <f t="shared" si="5"/>
        <v>2.8700000000000017E-2</v>
      </c>
      <c r="M40" s="121">
        <f t="shared" si="6"/>
        <v>2.1200000000000028E-2</v>
      </c>
    </row>
    <row r="41" spans="3:13" x14ac:dyDescent="0.25">
      <c r="C41">
        <v>39</v>
      </c>
      <c r="D41" s="115" t="str">
        <f t="shared" si="1"/>
        <v>39M</v>
      </c>
      <c r="E41" s="119">
        <v>7.0000000000000007E-2</v>
      </c>
      <c r="F41" s="120">
        <f t="shared" si="2"/>
        <v>4.4800000000000104E-2</v>
      </c>
      <c r="G41" s="128">
        <f t="shared" si="3"/>
        <v>1.6900000000000033E-2</v>
      </c>
      <c r="J41" s="112" t="str">
        <f t="shared" si="7"/>
        <v>39M</v>
      </c>
      <c r="K41" s="119">
        <f t="shared" si="4"/>
        <v>1.3799999999999977E-2</v>
      </c>
      <c r="L41" s="120">
        <f t="shared" si="5"/>
        <v>2.9200000000000018E-2</v>
      </c>
      <c r="M41" s="121">
        <f t="shared" si="6"/>
        <v>2.150000000000003E-2</v>
      </c>
    </row>
    <row r="42" spans="3:13" x14ac:dyDescent="0.25">
      <c r="C42">
        <v>40</v>
      </c>
      <c r="D42" s="115" t="str">
        <f t="shared" si="1"/>
        <v>40M</v>
      </c>
      <c r="E42" s="119">
        <v>7.0000000000000007E-2</v>
      </c>
      <c r="F42" s="120">
        <f t="shared" si="2"/>
        <v>4.4900000000000106E-2</v>
      </c>
      <c r="G42" s="128">
        <f t="shared" si="3"/>
        <v>1.6950000000000034E-2</v>
      </c>
      <c r="J42" s="112" t="str">
        <f t="shared" si="7"/>
        <v>40M</v>
      </c>
      <c r="K42" s="119">
        <f t="shared" si="4"/>
        <v>1.3899999999999977E-2</v>
      </c>
      <c r="L42" s="120">
        <f t="shared" si="5"/>
        <v>2.9700000000000018E-2</v>
      </c>
      <c r="M42" s="121">
        <f t="shared" si="6"/>
        <v>2.1800000000000031E-2</v>
      </c>
    </row>
    <row r="43" spans="3:13" x14ac:dyDescent="0.25">
      <c r="C43">
        <v>41</v>
      </c>
      <c r="D43" s="115" t="str">
        <f t="shared" si="1"/>
        <v>41M</v>
      </c>
      <c r="E43" s="119">
        <v>7.0000000000000007E-2</v>
      </c>
      <c r="F43" s="120">
        <f t="shared" si="2"/>
        <v>4.5000000000000109E-2</v>
      </c>
      <c r="G43" s="128">
        <f t="shared" si="3"/>
        <v>1.7000000000000036E-2</v>
      </c>
      <c r="J43" s="112" t="str">
        <f t="shared" si="7"/>
        <v>41M</v>
      </c>
      <c r="K43" s="119">
        <f t="shared" si="4"/>
        <v>1.3999999999999976E-2</v>
      </c>
      <c r="L43" s="120">
        <f t="shared" si="5"/>
        <v>3.0200000000000018E-2</v>
      </c>
      <c r="M43" s="121">
        <f t="shared" si="6"/>
        <v>2.2100000000000033E-2</v>
      </c>
    </row>
    <row r="44" spans="3:13" x14ac:dyDescent="0.25">
      <c r="C44">
        <v>42</v>
      </c>
      <c r="D44" s="115" t="str">
        <f t="shared" si="1"/>
        <v>42M</v>
      </c>
      <c r="E44" s="119">
        <v>7.0000000000000007E-2</v>
      </c>
      <c r="F44" s="120">
        <f t="shared" si="2"/>
        <v>4.5100000000000112E-2</v>
      </c>
      <c r="G44" s="128">
        <f t="shared" si="3"/>
        <v>1.7050000000000037E-2</v>
      </c>
      <c r="J44" s="112" t="str">
        <f t="shared" si="7"/>
        <v>42M</v>
      </c>
      <c r="K44" s="119">
        <f t="shared" si="4"/>
        <v>1.4099999999999975E-2</v>
      </c>
      <c r="L44" s="120">
        <f t="shared" si="5"/>
        <v>3.0700000000000019E-2</v>
      </c>
      <c r="M44" s="121">
        <f t="shared" si="6"/>
        <v>2.2400000000000034E-2</v>
      </c>
    </row>
    <row r="45" spans="3:13" x14ac:dyDescent="0.25">
      <c r="C45">
        <v>43</v>
      </c>
      <c r="D45" s="115" t="str">
        <f t="shared" si="1"/>
        <v>43M</v>
      </c>
      <c r="E45" s="119">
        <v>7.0000000000000007E-2</v>
      </c>
      <c r="F45" s="120">
        <f t="shared" si="2"/>
        <v>4.5200000000000115E-2</v>
      </c>
      <c r="G45" s="128">
        <f t="shared" si="3"/>
        <v>1.7100000000000039E-2</v>
      </c>
      <c r="J45" s="112" t="str">
        <f t="shared" si="7"/>
        <v>43M</v>
      </c>
      <c r="K45" s="119">
        <f t="shared" si="4"/>
        <v>1.4199999999999975E-2</v>
      </c>
      <c r="L45" s="120">
        <f t="shared" si="5"/>
        <v>3.1200000000000019E-2</v>
      </c>
      <c r="M45" s="121">
        <f t="shared" si="6"/>
        <v>2.2700000000000036E-2</v>
      </c>
    </row>
    <row r="46" spans="3:13" x14ac:dyDescent="0.25">
      <c r="C46">
        <v>44</v>
      </c>
      <c r="D46" s="115" t="str">
        <f t="shared" si="1"/>
        <v>44M</v>
      </c>
      <c r="E46" s="119">
        <v>7.0000000000000007E-2</v>
      </c>
      <c r="F46" s="120">
        <f t="shared" si="2"/>
        <v>4.5300000000000118E-2</v>
      </c>
      <c r="G46" s="128">
        <f t="shared" si="3"/>
        <v>1.715000000000004E-2</v>
      </c>
      <c r="J46" s="112" t="str">
        <f t="shared" si="7"/>
        <v>44M</v>
      </c>
      <c r="K46" s="119">
        <f t="shared" si="4"/>
        <v>1.4299999999999974E-2</v>
      </c>
      <c r="L46" s="120">
        <f t="shared" si="5"/>
        <v>3.170000000000002E-2</v>
      </c>
      <c r="M46" s="121">
        <f t="shared" si="6"/>
        <v>2.3000000000000038E-2</v>
      </c>
    </row>
    <row r="47" spans="3:13" x14ac:dyDescent="0.25">
      <c r="C47">
        <v>45</v>
      </c>
      <c r="D47" s="115" t="str">
        <f t="shared" si="1"/>
        <v>45M</v>
      </c>
      <c r="E47" s="119">
        <v>7.0000000000000007E-2</v>
      </c>
      <c r="F47" s="120">
        <f t="shared" si="2"/>
        <v>4.5400000000000121E-2</v>
      </c>
      <c r="G47" s="128">
        <f t="shared" si="3"/>
        <v>1.7200000000000042E-2</v>
      </c>
      <c r="J47" s="112" t="str">
        <f t="shared" si="7"/>
        <v>45M</v>
      </c>
      <c r="K47" s="119">
        <f t="shared" si="4"/>
        <v>1.4399999999999974E-2</v>
      </c>
      <c r="L47" s="120">
        <f t="shared" si="5"/>
        <v>3.220000000000002E-2</v>
      </c>
      <c r="M47" s="121">
        <f t="shared" si="6"/>
        <v>2.3300000000000039E-2</v>
      </c>
    </row>
    <row r="48" spans="3:13" x14ac:dyDescent="0.25">
      <c r="C48">
        <v>46</v>
      </c>
      <c r="D48" s="115" t="str">
        <f t="shared" si="1"/>
        <v>46M</v>
      </c>
      <c r="E48" s="119">
        <v>7.0000000000000007E-2</v>
      </c>
      <c r="F48" s="120">
        <f t="shared" si="2"/>
        <v>4.5500000000000124E-2</v>
      </c>
      <c r="G48" s="128">
        <f t="shared" si="3"/>
        <v>1.7250000000000043E-2</v>
      </c>
      <c r="J48" s="112" t="str">
        <f t="shared" si="7"/>
        <v>46M</v>
      </c>
      <c r="K48" s="119">
        <f t="shared" si="4"/>
        <v>1.4499999999999973E-2</v>
      </c>
      <c r="L48" s="120">
        <f t="shared" si="5"/>
        <v>3.2700000000000021E-2</v>
      </c>
      <c r="M48" s="121">
        <f t="shared" si="6"/>
        <v>2.3600000000000041E-2</v>
      </c>
    </row>
    <row r="49" spans="3:13" x14ac:dyDescent="0.25">
      <c r="C49">
        <v>47</v>
      </c>
      <c r="D49" s="115" t="str">
        <f t="shared" si="1"/>
        <v>47M</v>
      </c>
      <c r="E49" s="119">
        <v>7.0000000000000007E-2</v>
      </c>
      <c r="F49" s="120">
        <f t="shared" si="2"/>
        <v>4.5600000000000127E-2</v>
      </c>
      <c r="G49" s="128">
        <f t="shared" si="3"/>
        <v>1.7300000000000045E-2</v>
      </c>
      <c r="J49" s="112" t="str">
        <f t="shared" si="7"/>
        <v>47M</v>
      </c>
      <c r="K49" s="119">
        <f t="shared" si="4"/>
        <v>1.4599999999999972E-2</v>
      </c>
      <c r="L49" s="120">
        <f t="shared" si="5"/>
        <v>3.3200000000000021E-2</v>
      </c>
      <c r="M49" s="121">
        <f t="shared" si="6"/>
        <v>2.3900000000000043E-2</v>
      </c>
    </row>
    <row r="50" spans="3:13" x14ac:dyDescent="0.25">
      <c r="C50">
        <v>48</v>
      </c>
      <c r="D50" s="115" t="str">
        <f t="shared" si="1"/>
        <v>48M</v>
      </c>
      <c r="E50" s="119">
        <v>7.0000000000000007E-2</v>
      </c>
      <c r="F50" s="120">
        <f t="shared" si="2"/>
        <v>4.5700000000000129E-2</v>
      </c>
      <c r="G50" s="128">
        <f t="shared" si="3"/>
        <v>1.7350000000000046E-2</v>
      </c>
      <c r="J50" s="112" t="str">
        <f t="shared" si="7"/>
        <v>48M</v>
      </c>
      <c r="K50" s="119">
        <f t="shared" si="4"/>
        <v>1.4699999999999972E-2</v>
      </c>
      <c r="L50" s="120">
        <f t="shared" si="5"/>
        <v>3.3700000000000022E-2</v>
      </c>
      <c r="M50" s="121">
        <f t="shared" si="6"/>
        <v>2.4200000000000044E-2</v>
      </c>
    </row>
    <row r="51" spans="3:13" x14ac:dyDescent="0.25">
      <c r="C51">
        <v>49</v>
      </c>
      <c r="D51" s="115" t="str">
        <f t="shared" si="1"/>
        <v>49M</v>
      </c>
      <c r="E51" s="119">
        <v>7.0000000000000007E-2</v>
      </c>
      <c r="F51" s="120">
        <f t="shared" si="2"/>
        <v>4.5800000000000132E-2</v>
      </c>
      <c r="G51" s="128">
        <f t="shared" si="3"/>
        <v>1.7400000000000047E-2</v>
      </c>
      <c r="J51" s="112" t="str">
        <f t="shared" si="7"/>
        <v>49M</v>
      </c>
      <c r="K51" s="119">
        <f t="shared" si="4"/>
        <v>1.4799999999999971E-2</v>
      </c>
      <c r="L51" s="120">
        <f t="shared" si="5"/>
        <v>3.4200000000000022E-2</v>
      </c>
      <c r="M51" s="121">
        <f t="shared" si="6"/>
        <v>2.4500000000000046E-2</v>
      </c>
    </row>
    <row r="52" spans="3:13" x14ac:dyDescent="0.25">
      <c r="C52">
        <v>50</v>
      </c>
      <c r="D52" s="115" t="str">
        <f t="shared" si="1"/>
        <v>50M</v>
      </c>
      <c r="E52" s="119">
        <v>7.0000000000000007E-2</v>
      </c>
      <c r="F52" s="120">
        <f t="shared" si="2"/>
        <v>4.5900000000000135E-2</v>
      </c>
      <c r="G52" s="128">
        <f t="shared" si="3"/>
        <v>1.7450000000000049E-2</v>
      </c>
      <c r="J52" s="112" t="str">
        <f t="shared" si="7"/>
        <v>50M</v>
      </c>
      <c r="K52" s="119">
        <f t="shared" si="4"/>
        <v>1.4899999999999971E-2</v>
      </c>
      <c r="L52" s="120">
        <f t="shared" si="5"/>
        <v>3.4700000000000022E-2</v>
      </c>
      <c r="M52" s="121">
        <f t="shared" si="6"/>
        <v>2.4800000000000048E-2</v>
      </c>
    </row>
    <row r="53" spans="3:13" x14ac:dyDescent="0.25">
      <c r="C53">
        <v>51</v>
      </c>
      <c r="D53" s="115" t="str">
        <f t="shared" si="1"/>
        <v>51M</v>
      </c>
      <c r="E53" s="119">
        <v>7.0000000000000007E-2</v>
      </c>
      <c r="F53" s="120">
        <f t="shared" si="2"/>
        <v>4.6000000000000138E-2</v>
      </c>
      <c r="G53" s="128">
        <f t="shared" si="3"/>
        <v>1.750000000000005E-2</v>
      </c>
      <c r="J53" s="112" t="str">
        <f t="shared" si="7"/>
        <v>51M</v>
      </c>
      <c r="K53" s="119">
        <f t="shared" si="4"/>
        <v>1.499999999999997E-2</v>
      </c>
      <c r="L53" s="120">
        <f t="shared" si="5"/>
        <v>3.5200000000000023E-2</v>
      </c>
      <c r="M53" s="121">
        <f t="shared" si="6"/>
        <v>2.5100000000000049E-2</v>
      </c>
    </row>
    <row r="54" spans="3:13" x14ac:dyDescent="0.25">
      <c r="C54">
        <v>52</v>
      </c>
      <c r="D54" s="115" t="str">
        <f t="shared" si="1"/>
        <v>52M</v>
      </c>
      <c r="E54" s="119">
        <v>7.0000000000000007E-2</v>
      </c>
      <c r="F54" s="120">
        <f t="shared" si="2"/>
        <v>4.6100000000000141E-2</v>
      </c>
      <c r="G54" s="128">
        <f t="shared" si="3"/>
        <v>1.7550000000000052E-2</v>
      </c>
      <c r="J54" s="112" t="str">
        <f t="shared" si="7"/>
        <v>52M</v>
      </c>
      <c r="K54" s="119">
        <f t="shared" si="4"/>
        <v>1.5099999999999969E-2</v>
      </c>
      <c r="L54" s="120">
        <f t="shared" si="5"/>
        <v>3.5700000000000023E-2</v>
      </c>
      <c r="M54" s="121">
        <f t="shared" si="6"/>
        <v>2.5400000000000051E-2</v>
      </c>
    </row>
    <row r="55" spans="3:13" x14ac:dyDescent="0.25">
      <c r="C55">
        <v>53</v>
      </c>
      <c r="D55" s="115" t="str">
        <f t="shared" si="1"/>
        <v>53M</v>
      </c>
      <c r="E55" s="119">
        <v>7.0000000000000007E-2</v>
      </c>
      <c r="F55" s="120">
        <f t="shared" si="2"/>
        <v>4.6200000000000144E-2</v>
      </c>
      <c r="G55" s="128">
        <f t="shared" si="3"/>
        <v>1.7600000000000053E-2</v>
      </c>
      <c r="J55" s="112" t="str">
        <f t="shared" si="7"/>
        <v>53M</v>
      </c>
      <c r="K55" s="119">
        <f t="shared" si="4"/>
        <v>1.5199999999999969E-2</v>
      </c>
      <c r="L55" s="120">
        <f t="shared" si="5"/>
        <v>3.6200000000000024E-2</v>
      </c>
      <c r="M55" s="121">
        <f t="shared" si="6"/>
        <v>2.5700000000000053E-2</v>
      </c>
    </row>
    <row r="56" spans="3:13" x14ac:dyDescent="0.25">
      <c r="C56">
        <v>54</v>
      </c>
      <c r="D56" s="115" t="str">
        <f t="shared" si="1"/>
        <v>54M</v>
      </c>
      <c r="E56" s="119">
        <v>7.0000000000000007E-2</v>
      </c>
      <c r="F56" s="120">
        <f t="shared" si="2"/>
        <v>4.6300000000000147E-2</v>
      </c>
      <c r="G56" s="128">
        <f t="shared" si="3"/>
        <v>1.7650000000000055E-2</v>
      </c>
      <c r="J56" s="112" t="str">
        <f t="shared" si="7"/>
        <v>54M</v>
      </c>
      <c r="K56" s="119">
        <f t="shared" si="4"/>
        <v>1.5299999999999968E-2</v>
      </c>
      <c r="L56" s="120">
        <f t="shared" si="5"/>
        <v>3.6700000000000024E-2</v>
      </c>
      <c r="M56" s="121">
        <f t="shared" si="6"/>
        <v>2.6000000000000054E-2</v>
      </c>
    </row>
    <row r="57" spans="3:13" x14ac:dyDescent="0.25">
      <c r="C57">
        <v>55</v>
      </c>
      <c r="D57" s="115" t="str">
        <f t="shared" si="1"/>
        <v>55M</v>
      </c>
      <c r="E57" s="119">
        <v>7.0000000000000007E-2</v>
      </c>
      <c r="F57" s="120">
        <f t="shared" si="2"/>
        <v>4.6400000000000149E-2</v>
      </c>
      <c r="G57" s="128">
        <f t="shared" si="3"/>
        <v>1.7700000000000056E-2</v>
      </c>
      <c r="J57" s="112" t="str">
        <f t="shared" si="7"/>
        <v>55M</v>
      </c>
      <c r="K57" s="119">
        <f t="shared" si="4"/>
        <v>1.5399999999999968E-2</v>
      </c>
      <c r="L57" s="120">
        <f t="shared" si="5"/>
        <v>3.7200000000000025E-2</v>
      </c>
      <c r="M57" s="121">
        <f t="shared" si="6"/>
        <v>2.6300000000000056E-2</v>
      </c>
    </row>
    <row r="58" spans="3:13" x14ac:dyDescent="0.25">
      <c r="C58">
        <v>56</v>
      </c>
      <c r="D58" s="115" t="str">
        <f t="shared" si="1"/>
        <v>56M</v>
      </c>
      <c r="E58" s="119">
        <v>7.0000000000000007E-2</v>
      </c>
      <c r="F58" s="120">
        <f t="shared" si="2"/>
        <v>4.6500000000000152E-2</v>
      </c>
      <c r="G58" s="128">
        <f t="shared" si="3"/>
        <v>1.7750000000000057E-2</v>
      </c>
      <c r="J58" s="112" t="str">
        <f t="shared" si="7"/>
        <v>56M</v>
      </c>
      <c r="K58" s="119">
        <f t="shared" si="4"/>
        <v>1.5499999999999967E-2</v>
      </c>
      <c r="L58" s="120">
        <f t="shared" si="5"/>
        <v>3.7700000000000025E-2</v>
      </c>
      <c r="M58" s="121">
        <f t="shared" si="6"/>
        <v>2.6600000000000058E-2</v>
      </c>
    </row>
    <row r="59" spans="3:13" x14ac:dyDescent="0.25">
      <c r="C59">
        <v>57</v>
      </c>
      <c r="D59" s="115" t="str">
        <f t="shared" si="1"/>
        <v>57M</v>
      </c>
      <c r="E59" s="119">
        <v>7.0000000000000007E-2</v>
      </c>
      <c r="F59" s="120">
        <f t="shared" si="2"/>
        <v>4.6600000000000155E-2</v>
      </c>
      <c r="G59" s="128">
        <f t="shared" si="3"/>
        <v>1.7800000000000059E-2</v>
      </c>
      <c r="J59" s="112" t="str">
        <f t="shared" si="7"/>
        <v>57M</v>
      </c>
      <c r="K59" s="119">
        <f t="shared" si="4"/>
        <v>1.5599999999999966E-2</v>
      </c>
      <c r="L59" s="120">
        <f t="shared" si="5"/>
        <v>3.8200000000000026E-2</v>
      </c>
      <c r="M59" s="121">
        <f t="shared" si="6"/>
        <v>2.6900000000000059E-2</v>
      </c>
    </row>
    <row r="60" spans="3:13" x14ac:dyDescent="0.25">
      <c r="C60">
        <v>58</v>
      </c>
      <c r="D60" s="115" t="str">
        <f t="shared" si="1"/>
        <v>58M</v>
      </c>
      <c r="E60" s="119">
        <v>7.0000000000000007E-2</v>
      </c>
      <c r="F60" s="120">
        <f t="shared" si="2"/>
        <v>4.6700000000000158E-2</v>
      </c>
      <c r="G60" s="128">
        <f t="shared" si="3"/>
        <v>1.785000000000006E-2</v>
      </c>
      <c r="J60" s="112" t="str">
        <f t="shared" si="7"/>
        <v>58M</v>
      </c>
      <c r="K60" s="119">
        <f t="shared" si="4"/>
        <v>1.5699999999999967E-2</v>
      </c>
      <c r="L60" s="120">
        <f t="shared" si="5"/>
        <v>3.8700000000000026E-2</v>
      </c>
      <c r="M60" s="121">
        <f t="shared" si="6"/>
        <v>2.7200000000000061E-2</v>
      </c>
    </row>
    <row r="61" spans="3:13" x14ac:dyDescent="0.25">
      <c r="C61">
        <v>59</v>
      </c>
      <c r="D61" s="115" t="str">
        <f t="shared" si="1"/>
        <v>59M</v>
      </c>
      <c r="E61" s="119">
        <v>7.0000000000000007E-2</v>
      </c>
      <c r="F61" s="120">
        <f t="shared" si="2"/>
        <v>4.6800000000000161E-2</v>
      </c>
      <c r="G61" s="128">
        <f t="shared" si="3"/>
        <v>1.7900000000000062E-2</v>
      </c>
      <c r="J61" s="112" t="str">
        <f t="shared" si="7"/>
        <v>59M</v>
      </c>
      <c r="K61" s="119">
        <f t="shared" si="4"/>
        <v>1.5799999999999967E-2</v>
      </c>
      <c r="L61" s="120">
        <f t="shared" si="5"/>
        <v>3.9200000000000026E-2</v>
      </c>
      <c r="M61" s="121">
        <f t="shared" si="6"/>
        <v>2.7500000000000063E-2</v>
      </c>
    </row>
    <row r="62" spans="3:13" x14ac:dyDescent="0.25">
      <c r="C62">
        <v>60</v>
      </c>
      <c r="D62" s="115" t="str">
        <f t="shared" si="1"/>
        <v>60M</v>
      </c>
      <c r="E62" s="119">
        <v>7.0000000000000007E-2</v>
      </c>
      <c r="F62" s="120">
        <f t="shared" si="2"/>
        <v>4.6900000000000164E-2</v>
      </c>
      <c r="G62" s="128">
        <f t="shared" si="3"/>
        <v>1.7950000000000063E-2</v>
      </c>
      <c r="J62" s="112" t="str">
        <f t="shared" si="7"/>
        <v>60M</v>
      </c>
      <c r="K62" s="119">
        <f t="shared" si="4"/>
        <v>1.5899999999999966E-2</v>
      </c>
      <c r="L62" s="120">
        <f t="shared" si="5"/>
        <v>3.9700000000000027E-2</v>
      </c>
      <c r="M62" s="121">
        <f t="shared" si="6"/>
        <v>2.7800000000000064E-2</v>
      </c>
    </row>
    <row r="63" spans="3:13" x14ac:dyDescent="0.25">
      <c r="C63">
        <v>61</v>
      </c>
      <c r="D63" s="115" t="str">
        <f t="shared" si="1"/>
        <v>61M</v>
      </c>
      <c r="E63" s="119">
        <v>7.0000000000000007E-2</v>
      </c>
      <c r="F63" s="120">
        <f t="shared" si="2"/>
        <v>4.7000000000000167E-2</v>
      </c>
      <c r="G63" s="128">
        <f t="shared" si="3"/>
        <v>1.8000000000000065E-2</v>
      </c>
      <c r="J63" s="112" t="str">
        <f t="shared" si="7"/>
        <v>61M</v>
      </c>
      <c r="K63" s="119">
        <f t="shared" si="4"/>
        <v>1.5999999999999966E-2</v>
      </c>
      <c r="L63" s="120">
        <f t="shared" si="5"/>
        <v>4.0200000000000027E-2</v>
      </c>
      <c r="M63" s="121">
        <f t="shared" si="6"/>
        <v>2.8100000000000066E-2</v>
      </c>
    </row>
    <row r="64" spans="3:13" x14ac:dyDescent="0.25">
      <c r="C64">
        <v>62</v>
      </c>
      <c r="D64" s="115" t="str">
        <f t="shared" si="1"/>
        <v>62M</v>
      </c>
      <c r="E64" s="119">
        <v>7.0000000000000007E-2</v>
      </c>
      <c r="F64" s="120">
        <f t="shared" si="2"/>
        <v>4.710000000000017E-2</v>
      </c>
      <c r="G64" s="128">
        <f t="shared" si="3"/>
        <v>1.8050000000000066E-2</v>
      </c>
      <c r="J64" s="112" t="str">
        <f t="shared" si="7"/>
        <v>62M</v>
      </c>
      <c r="K64" s="119">
        <f t="shared" si="4"/>
        <v>1.6099999999999965E-2</v>
      </c>
      <c r="L64" s="120">
        <f t="shared" si="5"/>
        <v>4.0700000000000028E-2</v>
      </c>
      <c r="M64" s="121">
        <f t="shared" si="6"/>
        <v>2.8400000000000068E-2</v>
      </c>
    </row>
    <row r="65" spans="3:13" x14ac:dyDescent="0.25">
      <c r="C65">
        <v>63</v>
      </c>
      <c r="D65" s="115" t="str">
        <f t="shared" si="1"/>
        <v>63M</v>
      </c>
      <c r="E65" s="119">
        <v>7.0000000000000007E-2</v>
      </c>
      <c r="F65" s="120">
        <f t="shared" si="2"/>
        <v>4.7200000000000172E-2</v>
      </c>
      <c r="G65" s="128">
        <f t="shared" si="3"/>
        <v>1.8100000000000067E-2</v>
      </c>
      <c r="J65" s="112" t="str">
        <f t="shared" si="7"/>
        <v>63M</v>
      </c>
      <c r="K65" s="119">
        <f t="shared" si="4"/>
        <v>1.6199999999999964E-2</v>
      </c>
      <c r="L65" s="120">
        <f t="shared" si="5"/>
        <v>4.1200000000000028E-2</v>
      </c>
      <c r="M65" s="121">
        <f t="shared" si="6"/>
        <v>2.8700000000000069E-2</v>
      </c>
    </row>
    <row r="66" spans="3:13" x14ac:dyDescent="0.25">
      <c r="C66">
        <v>64</v>
      </c>
      <c r="D66" s="115" t="str">
        <f t="shared" si="1"/>
        <v>64M</v>
      </c>
      <c r="E66" s="119">
        <v>7.0000000000000007E-2</v>
      </c>
      <c r="F66" s="120">
        <f t="shared" si="2"/>
        <v>4.7300000000000175E-2</v>
      </c>
      <c r="G66" s="128">
        <f t="shared" si="3"/>
        <v>1.8150000000000069E-2</v>
      </c>
      <c r="J66" s="112" t="str">
        <f t="shared" si="7"/>
        <v>64M</v>
      </c>
      <c r="K66" s="119">
        <f t="shared" si="4"/>
        <v>1.6299999999999964E-2</v>
      </c>
      <c r="L66" s="120">
        <f t="shared" si="5"/>
        <v>4.1700000000000029E-2</v>
      </c>
      <c r="M66" s="121">
        <f t="shared" si="6"/>
        <v>2.9000000000000071E-2</v>
      </c>
    </row>
    <row r="67" spans="3:13" x14ac:dyDescent="0.25">
      <c r="C67">
        <v>65</v>
      </c>
      <c r="D67" s="115" t="str">
        <f t="shared" si="1"/>
        <v>65M</v>
      </c>
      <c r="E67" s="119">
        <v>7.0000000000000007E-2</v>
      </c>
      <c r="F67" s="120">
        <f t="shared" si="2"/>
        <v>4.7400000000000178E-2</v>
      </c>
      <c r="G67" s="128">
        <f t="shared" si="3"/>
        <v>1.820000000000007E-2</v>
      </c>
      <c r="J67" s="112" t="str">
        <f t="shared" ref="J67:J98" si="8">D67</f>
        <v>65M</v>
      </c>
      <c r="K67" s="119">
        <f t="shared" si="4"/>
        <v>1.6399999999999963E-2</v>
      </c>
      <c r="L67" s="120">
        <f t="shared" si="5"/>
        <v>4.2200000000000029E-2</v>
      </c>
      <c r="M67" s="121">
        <f t="shared" si="6"/>
        <v>2.9300000000000073E-2</v>
      </c>
    </row>
    <row r="68" spans="3:13" x14ac:dyDescent="0.25">
      <c r="C68">
        <v>66</v>
      </c>
      <c r="D68" s="115" t="str">
        <f t="shared" ref="D68:D114" si="9">C68&amp;"M"</f>
        <v>66M</v>
      </c>
      <c r="E68" s="119">
        <v>7.0000000000000007E-2</v>
      </c>
      <c r="F68" s="120">
        <f t="shared" si="2"/>
        <v>4.7500000000000181E-2</v>
      </c>
      <c r="G68" s="128">
        <f t="shared" si="3"/>
        <v>1.8250000000000072E-2</v>
      </c>
      <c r="J68" s="112" t="str">
        <f t="shared" si="8"/>
        <v>66M</v>
      </c>
      <c r="K68" s="119">
        <f t="shared" si="4"/>
        <v>1.6499999999999963E-2</v>
      </c>
      <c r="L68" s="120">
        <f t="shared" si="5"/>
        <v>4.270000000000003E-2</v>
      </c>
      <c r="M68" s="121">
        <f t="shared" si="6"/>
        <v>2.9600000000000074E-2</v>
      </c>
    </row>
    <row r="69" spans="3:13" x14ac:dyDescent="0.25">
      <c r="C69">
        <v>67</v>
      </c>
      <c r="D69" s="115" t="str">
        <f t="shared" si="9"/>
        <v>67M</v>
      </c>
      <c r="E69" s="119">
        <v>7.0000000000000007E-2</v>
      </c>
      <c r="F69" s="120">
        <f t="shared" ref="F69:F114" si="10">F68+0.0001</f>
        <v>4.7600000000000184E-2</v>
      </c>
      <c r="G69" s="128">
        <f t="shared" ref="G69:G114" si="11">G68+0.005%</f>
        <v>1.8300000000000073E-2</v>
      </c>
      <c r="J69" s="112" t="str">
        <f t="shared" si="8"/>
        <v>67M</v>
      </c>
      <c r="K69" s="119">
        <f t="shared" ref="K69:K114" si="12">K68+0.01%</f>
        <v>1.6599999999999962E-2</v>
      </c>
      <c r="L69" s="120">
        <f t="shared" ref="L69:L114" si="13">L68+0.05%</f>
        <v>4.320000000000003E-2</v>
      </c>
      <c r="M69" s="121">
        <f t="shared" ref="M69:M114" si="14">M68+0.03%</f>
        <v>2.9900000000000076E-2</v>
      </c>
    </row>
    <row r="70" spans="3:13" x14ac:dyDescent="0.25">
      <c r="C70">
        <v>68</v>
      </c>
      <c r="D70" s="115" t="str">
        <f t="shared" si="9"/>
        <v>68M</v>
      </c>
      <c r="E70" s="119">
        <v>7.0000000000000007E-2</v>
      </c>
      <c r="F70" s="120">
        <f t="shared" si="10"/>
        <v>4.7700000000000187E-2</v>
      </c>
      <c r="G70" s="128">
        <f t="shared" si="11"/>
        <v>1.8350000000000075E-2</v>
      </c>
      <c r="J70" s="112" t="str">
        <f t="shared" si="8"/>
        <v>68M</v>
      </c>
      <c r="K70" s="119">
        <f t="shared" si="12"/>
        <v>1.6699999999999961E-2</v>
      </c>
      <c r="L70" s="120">
        <f t="shared" si="13"/>
        <v>4.370000000000003E-2</v>
      </c>
      <c r="M70" s="121">
        <f t="shared" si="14"/>
        <v>3.0200000000000077E-2</v>
      </c>
    </row>
    <row r="71" spans="3:13" x14ac:dyDescent="0.25">
      <c r="C71">
        <v>69</v>
      </c>
      <c r="D71" s="115" t="str">
        <f t="shared" si="9"/>
        <v>69M</v>
      </c>
      <c r="E71" s="119">
        <v>7.0000000000000007E-2</v>
      </c>
      <c r="F71" s="120">
        <f t="shared" si="10"/>
        <v>4.780000000000019E-2</v>
      </c>
      <c r="G71" s="128">
        <f t="shared" si="11"/>
        <v>1.8400000000000076E-2</v>
      </c>
      <c r="J71" s="112" t="str">
        <f t="shared" si="8"/>
        <v>69M</v>
      </c>
      <c r="K71" s="119">
        <f t="shared" si="12"/>
        <v>1.6799999999999961E-2</v>
      </c>
      <c r="L71" s="120">
        <f t="shared" si="13"/>
        <v>4.4200000000000031E-2</v>
      </c>
      <c r="M71" s="121">
        <f t="shared" si="14"/>
        <v>3.0500000000000079E-2</v>
      </c>
    </row>
    <row r="72" spans="3:13" x14ac:dyDescent="0.25">
      <c r="C72">
        <v>70</v>
      </c>
      <c r="D72" s="115" t="str">
        <f t="shared" si="9"/>
        <v>70M</v>
      </c>
      <c r="E72" s="119">
        <v>7.0000000000000007E-2</v>
      </c>
      <c r="F72" s="120">
        <f t="shared" si="10"/>
        <v>4.7900000000000192E-2</v>
      </c>
      <c r="G72" s="128">
        <f t="shared" si="11"/>
        <v>1.8450000000000077E-2</v>
      </c>
      <c r="J72" s="112" t="str">
        <f t="shared" si="8"/>
        <v>70M</v>
      </c>
      <c r="K72" s="119">
        <f t="shared" si="12"/>
        <v>1.689999999999996E-2</v>
      </c>
      <c r="L72" s="120">
        <f t="shared" si="13"/>
        <v>4.4700000000000031E-2</v>
      </c>
      <c r="M72" s="121">
        <f t="shared" si="14"/>
        <v>3.0800000000000081E-2</v>
      </c>
    </row>
    <row r="73" spans="3:13" x14ac:dyDescent="0.25">
      <c r="C73">
        <v>71</v>
      </c>
      <c r="D73" s="115" t="str">
        <f t="shared" si="9"/>
        <v>71M</v>
      </c>
      <c r="E73" s="119">
        <v>7.0000000000000007E-2</v>
      </c>
      <c r="F73" s="120">
        <f t="shared" si="10"/>
        <v>4.8000000000000195E-2</v>
      </c>
      <c r="G73" s="128">
        <f t="shared" si="11"/>
        <v>1.8500000000000079E-2</v>
      </c>
      <c r="J73" s="112" t="str">
        <f t="shared" si="8"/>
        <v>71M</v>
      </c>
      <c r="K73" s="119">
        <f t="shared" si="12"/>
        <v>1.699999999999996E-2</v>
      </c>
      <c r="L73" s="120">
        <f t="shared" si="13"/>
        <v>4.5200000000000032E-2</v>
      </c>
      <c r="M73" s="121">
        <f t="shared" si="14"/>
        <v>3.1100000000000082E-2</v>
      </c>
    </row>
    <row r="74" spans="3:13" x14ac:dyDescent="0.25">
      <c r="C74">
        <v>72</v>
      </c>
      <c r="D74" s="115" t="str">
        <f t="shared" si="9"/>
        <v>72M</v>
      </c>
      <c r="E74" s="119">
        <v>7.0000000000000007E-2</v>
      </c>
      <c r="F74" s="120">
        <f t="shared" si="10"/>
        <v>4.8100000000000198E-2</v>
      </c>
      <c r="G74" s="128">
        <f t="shared" si="11"/>
        <v>1.855000000000008E-2</v>
      </c>
      <c r="J74" s="112" t="str">
        <f t="shared" si="8"/>
        <v>72M</v>
      </c>
      <c r="K74" s="119">
        <f t="shared" si="12"/>
        <v>1.7099999999999959E-2</v>
      </c>
      <c r="L74" s="120">
        <f t="shared" si="13"/>
        <v>4.5700000000000032E-2</v>
      </c>
      <c r="M74" s="121">
        <f t="shared" si="14"/>
        <v>3.1400000000000081E-2</v>
      </c>
    </row>
    <row r="75" spans="3:13" x14ac:dyDescent="0.25">
      <c r="C75">
        <v>73</v>
      </c>
      <c r="D75" s="115" t="str">
        <f t="shared" si="9"/>
        <v>73M</v>
      </c>
      <c r="E75" s="119">
        <v>7.0000000000000007E-2</v>
      </c>
      <c r="F75" s="120">
        <f t="shared" si="10"/>
        <v>4.8200000000000201E-2</v>
      </c>
      <c r="G75" s="128">
        <f t="shared" si="11"/>
        <v>1.8600000000000082E-2</v>
      </c>
      <c r="J75" s="112" t="str">
        <f t="shared" si="8"/>
        <v>73M</v>
      </c>
      <c r="K75" s="119">
        <f t="shared" si="12"/>
        <v>1.7199999999999958E-2</v>
      </c>
      <c r="L75" s="120">
        <f t="shared" si="13"/>
        <v>4.6200000000000033E-2</v>
      </c>
      <c r="M75" s="121">
        <f t="shared" si="14"/>
        <v>3.1700000000000082E-2</v>
      </c>
    </row>
    <row r="76" spans="3:13" x14ac:dyDescent="0.25">
      <c r="C76">
        <v>74</v>
      </c>
      <c r="D76" s="115" t="str">
        <f t="shared" si="9"/>
        <v>74M</v>
      </c>
      <c r="E76" s="119">
        <v>7.0000000000000007E-2</v>
      </c>
      <c r="F76" s="120">
        <f t="shared" si="10"/>
        <v>4.8300000000000204E-2</v>
      </c>
      <c r="G76" s="128">
        <f t="shared" si="11"/>
        <v>1.8650000000000083E-2</v>
      </c>
      <c r="J76" s="112" t="str">
        <f t="shared" si="8"/>
        <v>74M</v>
      </c>
      <c r="K76" s="119">
        <f t="shared" si="12"/>
        <v>1.7299999999999958E-2</v>
      </c>
      <c r="L76" s="120">
        <f t="shared" si="13"/>
        <v>4.6700000000000033E-2</v>
      </c>
      <c r="M76" s="121">
        <f t="shared" si="14"/>
        <v>3.2000000000000084E-2</v>
      </c>
    </row>
    <row r="77" spans="3:13" x14ac:dyDescent="0.25">
      <c r="C77">
        <v>75</v>
      </c>
      <c r="D77" s="115" t="str">
        <f t="shared" si="9"/>
        <v>75M</v>
      </c>
      <c r="E77" s="119">
        <v>7.0000000000000007E-2</v>
      </c>
      <c r="F77" s="120">
        <f t="shared" si="10"/>
        <v>4.8400000000000207E-2</v>
      </c>
      <c r="G77" s="128">
        <f t="shared" si="11"/>
        <v>1.8700000000000085E-2</v>
      </c>
      <c r="J77" s="112" t="str">
        <f t="shared" si="8"/>
        <v>75M</v>
      </c>
      <c r="K77" s="119">
        <f t="shared" si="12"/>
        <v>1.7399999999999957E-2</v>
      </c>
      <c r="L77" s="120">
        <f t="shared" si="13"/>
        <v>4.7200000000000034E-2</v>
      </c>
      <c r="M77" s="121">
        <f t="shared" si="14"/>
        <v>3.2300000000000086E-2</v>
      </c>
    </row>
    <row r="78" spans="3:13" x14ac:dyDescent="0.25">
      <c r="C78">
        <v>76</v>
      </c>
      <c r="D78" s="115" t="str">
        <f t="shared" si="9"/>
        <v>76M</v>
      </c>
      <c r="E78" s="119">
        <v>7.0000000000000007E-2</v>
      </c>
      <c r="F78" s="120">
        <f t="shared" si="10"/>
        <v>4.850000000000021E-2</v>
      </c>
      <c r="G78" s="128">
        <f t="shared" si="11"/>
        <v>1.8750000000000086E-2</v>
      </c>
      <c r="J78" s="112" t="str">
        <f t="shared" si="8"/>
        <v>76M</v>
      </c>
      <c r="K78" s="119">
        <f t="shared" si="12"/>
        <v>1.7499999999999957E-2</v>
      </c>
      <c r="L78" s="120">
        <f t="shared" si="13"/>
        <v>4.7700000000000034E-2</v>
      </c>
      <c r="M78" s="121">
        <f t="shared" si="14"/>
        <v>3.2600000000000087E-2</v>
      </c>
    </row>
    <row r="79" spans="3:13" x14ac:dyDescent="0.25">
      <c r="C79">
        <v>77</v>
      </c>
      <c r="D79" s="115" t="str">
        <f t="shared" si="9"/>
        <v>77M</v>
      </c>
      <c r="E79" s="119">
        <v>7.0000000000000007E-2</v>
      </c>
      <c r="F79" s="120">
        <f t="shared" si="10"/>
        <v>4.8600000000000212E-2</v>
      </c>
      <c r="G79" s="128">
        <f t="shared" si="11"/>
        <v>1.8800000000000087E-2</v>
      </c>
      <c r="J79" s="112" t="str">
        <f t="shared" si="8"/>
        <v>77M</v>
      </c>
      <c r="K79" s="119">
        <f t="shared" si="12"/>
        <v>1.7599999999999956E-2</v>
      </c>
      <c r="L79" s="120">
        <f t="shared" si="13"/>
        <v>4.8200000000000034E-2</v>
      </c>
      <c r="M79" s="121">
        <f t="shared" si="14"/>
        <v>3.2900000000000089E-2</v>
      </c>
    </row>
    <row r="80" spans="3:13" x14ac:dyDescent="0.25">
      <c r="C80">
        <v>78</v>
      </c>
      <c r="D80" s="115" t="str">
        <f t="shared" si="9"/>
        <v>78M</v>
      </c>
      <c r="E80" s="119">
        <v>7.0000000000000007E-2</v>
      </c>
      <c r="F80" s="120">
        <f t="shared" si="10"/>
        <v>4.8700000000000215E-2</v>
      </c>
      <c r="G80" s="128">
        <f t="shared" si="11"/>
        <v>1.8850000000000089E-2</v>
      </c>
      <c r="J80" s="112" t="str">
        <f t="shared" si="8"/>
        <v>78M</v>
      </c>
      <c r="K80" s="119">
        <f t="shared" si="12"/>
        <v>1.7699999999999955E-2</v>
      </c>
      <c r="L80" s="120">
        <f t="shared" si="13"/>
        <v>4.8700000000000035E-2</v>
      </c>
      <c r="M80" s="121">
        <f t="shared" si="14"/>
        <v>3.3200000000000091E-2</v>
      </c>
    </row>
    <row r="81" spans="3:13" x14ac:dyDescent="0.25">
      <c r="C81">
        <v>79</v>
      </c>
      <c r="D81" s="115" t="str">
        <f t="shared" si="9"/>
        <v>79M</v>
      </c>
      <c r="E81" s="119">
        <v>7.0000000000000007E-2</v>
      </c>
      <c r="F81" s="120">
        <f t="shared" si="10"/>
        <v>4.8800000000000218E-2</v>
      </c>
      <c r="G81" s="128">
        <f t="shared" si="11"/>
        <v>1.890000000000009E-2</v>
      </c>
      <c r="J81" s="112" t="str">
        <f t="shared" si="8"/>
        <v>79M</v>
      </c>
      <c r="K81" s="119">
        <f t="shared" si="12"/>
        <v>1.7799999999999955E-2</v>
      </c>
      <c r="L81" s="120">
        <f t="shared" si="13"/>
        <v>4.9200000000000035E-2</v>
      </c>
      <c r="M81" s="121">
        <f t="shared" si="14"/>
        <v>3.3500000000000092E-2</v>
      </c>
    </row>
    <row r="82" spans="3:13" x14ac:dyDescent="0.25">
      <c r="C82">
        <v>80</v>
      </c>
      <c r="D82" s="115" t="str">
        <f t="shared" si="9"/>
        <v>80M</v>
      </c>
      <c r="E82" s="119">
        <v>7.0000000000000007E-2</v>
      </c>
      <c r="F82" s="120">
        <f t="shared" si="10"/>
        <v>4.8900000000000221E-2</v>
      </c>
      <c r="G82" s="128">
        <f t="shared" si="11"/>
        <v>1.8950000000000092E-2</v>
      </c>
      <c r="J82" s="112" t="str">
        <f t="shared" si="8"/>
        <v>80M</v>
      </c>
      <c r="K82" s="119">
        <f t="shared" si="12"/>
        <v>1.7899999999999954E-2</v>
      </c>
      <c r="L82" s="120">
        <f t="shared" si="13"/>
        <v>4.9700000000000036E-2</v>
      </c>
      <c r="M82" s="121">
        <f t="shared" si="14"/>
        <v>3.3800000000000094E-2</v>
      </c>
    </row>
    <row r="83" spans="3:13" x14ac:dyDescent="0.25">
      <c r="C83">
        <v>81</v>
      </c>
      <c r="D83" s="115" t="str">
        <f t="shared" si="9"/>
        <v>81M</v>
      </c>
      <c r="E83" s="119">
        <v>7.0000000000000007E-2</v>
      </c>
      <c r="F83" s="120">
        <f t="shared" si="10"/>
        <v>4.9000000000000224E-2</v>
      </c>
      <c r="G83" s="128">
        <f t="shared" si="11"/>
        <v>1.9000000000000093E-2</v>
      </c>
      <c r="J83" s="112" t="str">
        <f t="shared" si="8"/>
        <v>81M</v>
      </c>
      <c r="K83" s="119">
        <f t="shared" si="12"/>
        <v>1.7999999999999954E-2</v>
      </c>
      <c r="L83" s="120">
        <f t="shared" si="13"/>
        <v>5.0200000000000036E-2</v>
      </c>
      <c r="M83" s="121">
        <f t="shared" si="14"/>
        <v>3.4100000000000096E-2</v>
      </c>
    </row>
    <row r="84" spans="3:13" x14ac:dyDescent="0.25">
      <c r="C84">
        <v>82</v>
      </c>
      <c r="D84" s="115" t="str">
        <f t="shared" si="9"/>
        <v>82M</v>
      </c>
      <c r="E84" s="119">
        <v>7.0000000000000007E-2</v>
      </c>
      <c r="F84" s="120">
        <f t="shared" si="10"/>
        <v>4.9100000000000227E-2</v>
      </c>
      <c r="G84" s="128">
        <f t="shared" si="11"/>
        <v>1.9050000000000095E-2</v>
      </c>
      <c r="J84" s="112" t="str">
        <f t="shared" si="8"/>
        <v>82M</v>
      </c>
      <c r="K84" s="119">
        <f t="shared" si="12"/>
        <v>1.8099999999999953E-2</v>
      </c>
      <c r="L84" s="120">
        <f t="shared" si="13"/>
        <v>5.0700000000000037E-2</v>
      </c>
      <c r="M84" s="121">
        <f t="shared" si="14"/>
        <v>3.4400000000000097E-2</v>
      </c>
    </row>
    <row r="85" spans="3:13" x14ac:dyDescent="0.25">
      <c r="C85">
        <v>83</v>
      </c>
      <c r="D85" s="115" t="str">
        <f t="shared" si="9"/>
        <v>83M</v>
      </c>
      <c r="E85" s="119">
        <v>7.0000000000000007E-2</v>
      </c>
      <c r="F85" s="120">
        <f t="shared" si="10"/>
        <v>4.920000000000023E-2</v>
      </c>
      <c r="G85" s="128">
        <f t="shared" si="11"/>
        <v>1.9100000000000096E-2</v>
      </c>
      <c r="J85" s="112" t="str">
        <f t="shared" si="8"/>
        <v>83M</v>
      </c>
      <c r="K85" s="119">
        <f t="shared" si="12"/>
        <v>1.8199999999999952E-2</v>
      </c>
      <c r="L85" s="120">
        <f t="shared" si="13"/>
        <v>5.1200000000000037E-2</v>
      </c>
      <c r="M85" s="121">
        <f t="shared" si="14"/>
        <v>3.4700000000000099E-2</v>
      </c>
    </row>
    <row r="86" spans="3:13" x14ac:dyDescent="0.25">
      <c r="C86">
        <v>84</v>
      </c>
      <c r="D86" s="115" t="str">
        <f t="shared" si="9"/>
        <v>84M</v>
      </c>
      <c r="E86" s="119">
        <v>7.0000000000000007E-2</v>
      </c>
      <c r="F86" s="120">
        <f t="shared" si="10"/>
        <v>4.9300000000000233E-2</v>
      </c>
      <c r="G86" s="128">
        <f t="shared" si="11"/>
        <v>1.9150000000000097E-2</v>
      </c>
      <c r="J86" s="112" t="str">
        <f t="shared" si="8"/>
        <v>84M</v>
      </c>
      <c r="K86" s="119">
        <f t="shared" si="12"/>
        <v>1.8299999999999952E-2</v>
      </c>
      <c r="L86" s="120">
        <f t="shared" si="13"/>
        <v>5.1700000000000038E-2</v>
      </c>
      <c r="M86" s="121">
        <f t="shared" si="14"/>
        <v>3.50000000000001E-2</v>
      </c>
    </row>
    <row r="87" spans="3:13" x14ac:dyDescent="0.25">
      <c r="C87">
        <v>85</v>
      </c>
      <c r="D87" s="115" t="str">
        <f t="shared" si="9"/>
        <v>85M</v>
      </c>
      <c r="E87" s="119">
        <v>7.0000000000000007E-2</v>
      </c>
      <c r="F87" s="120">
        <f t="shared" si="10"/>
        <v>4.9400000000000235E-2</v>
      </c>
      <c r="G87" s="128">
        <f t="shared" si="11"/>
        <v>1.9200000000000099E-2</v>
      </c>
      <c r="J87" s="112" t="str">
        <f t="shared" si="8"/>
        <v>85M</v>
      </c>
      <c r="K87" s="119">
        <f t="shared" si="12"/>
        <v>1.8399999999999951E-2</v>
      </c>
      <c r="L87" s="120">
        <f t="shared" si="13"/>
        <v>5.2200000000000038E-2</v>
      </c>
      <c r="M87" s="121">
        <f t="shared" si="14"/>
        <v>3.5300000000000102E-2</v>
      </c>
    </row>
    <row r="88" spans="3:13" x14ac:dyDescent="0.25">
      <c r="C88">
        <v>86</v>
      </c>
      <c r="D88" s="115" t="str">
        <f t="shared" si="9"/>
        <v>86M</v>
      </c>
      <c r="E88" s="119">
        <v>7.0000000000000007E-2</v>
      </c>
      <c r="F88" s="120">
        <f t="shared" si="10"/>
        <v>4.9500000000000238E-2</v>
      </c>
      <c r="G88" s="128">
        <f t="shared" si="11"/>
        <v>1.92500000000001E-2</v>
      </c>
      <c r="J88" s="112" t="str">
        <f t="shared" si="8"/>
        <v>86M</v>
      </c>
      <c r="K88" s="119">
        <f t="shared" si="12"/>
        <v>1.8499999999999951E-2</v>
      </c>
      <c r="L88" s="120">
        <f t="shared" si="13"/>
        <v>5.2700000000000038E-2</v>
      </c>
      <c r="M88" s="121">
        <f t="shared" si="14"/>
        <v>3.5600000000000104E-2</v>
      </c>
    </row>
    <row r="89" spans="3:13" x14ac:dyDescent="0.25">
      <c r="C89">
        <v>87</v>
      </c>
      <c r="D89" s="115" t="str">
        <f t="shared" si="9"/>
        <v>87M</v>
      </c>
      <c r="E89" s="119">
        <v>7.0000000000000007E-2</v>
      </c>
      <c r="F89" s="120">
        <f t="shared" si="10"/>
        <v>4.9600000000000241E-2</v>
      </c>
      <c r="G89" s="128">
        <f t="shared" si="11"/>
        <v>1.9300000000000102E-2</v>
      </c>
      <c r="J89" s="112" t="str">
        <f t="shared" si="8"/>
        <v>87M</v>
      </c>
      <c r="K89" s="119">
        <f t="shared" si="12"/>
        <v>1.859999999999995E-2</v>
      </c>
      <c r="L89" s="120">
        <f t="shared" si="13"/>
        <v>5.3200000000000039E-2</v>
      </c>
      <c r="M89" s="121">
        <f t="shared" si="14"/>
        <v>3.5900000000000105E-2</v>
      </c>
    </row>
    <row r="90" spans="3:13" x14ac:dyDescent="0.25">
      <c r="C90">
        <v>88</v>
      </c>
      <c r="D90" s="115" t="str">
        <f t="shared" si="9"/>
        <v>88M</v>
      </c>
      <c r="E90" s="119">
        <v>7.0000000000000007E-2</v>
      </c>
      <c r="F90" s="120">
        <f t="shared" si="10"/>
        <v>4.9700000000000244E-2</v>
      </c>
      <c r="G90" s="128">
        <f t="shared" si="11"/>
        <v>1.9350000000000103E-2</v>
      </c>
      <c r="J90" s="112" t="str">
        <f t="shared" si="8"/>
        <v>88M</v>
      </c>
      <c r="K90" s="119">
        <f t="shared" si="12"/>
        <v>1.8699999999999949E-2</v>
      </c>
      <c r="L90" s="120">
        <f t="shared" si="13"/>
        <v>5.3700000000000039E-2</v>
      </c>
      <c r="M90" s="121">
        <f t="shared" si="14"/>
        <v>3.6200000000000107E-2</v>
      </c>
    </row>
    <row r="91" spans="3:13" x14ac:dyDescent="0.25">
      <c r="C91">
        <v>89</v>
      </c>
      <c r="D91" s="115" t="str">
        <f t="shared" si="9"/>
        <v>89M</v>
      </c>
      <c r="E91" s="119">
        <v>7.0000000000000007E-2</v>
      </c>
      <c r="F91" s="120">
        <f t="shared" si="10"/>
        <v>4.9800000000000247E-2</v>
      </c>
      <c r="G91" s="128">
        <f t="shared" si="11"/>
        <v>1.9400000000000105E-2</v>
      </c>
      <c r="J91" s="112" t="str">
        <f t="shared" si="8"/>
        <v>89M</v>
      </c>
      <c r="K91" s="119">
        <f t="shared" si="12"/>
        <v>1.8799999999999949E-2</v>
      </c>
      <c r="L91" s="120">
        <f t="shared" si="13"/>
        <v>5.420000000000004E-2</v>
      </c>
      <c r="M91" s="121">
        <f t="shared" si="14"/>
        <v>3.6500000000000109E-2</v>
      </c>
    </row>
    <row r="92" spans="3:13" x14ac:dyDescent="0.25">
      <c r="C92">
        <v>90</v>
      </c>
      <c r="D92" s="115" t="str">
        <f t="shared" si="9"/>
        <v>90M</v>
      </c>
      <c r="E92" s="119">
        <v>7.0000000000000007E-2</v>
      </c>
      <c r="F92" s="120">
        <f t="shared" si="10"/>
        <v>4.990000000000025E-2</v>
      </c>
      <c r="G92" s="128">
        <f t="shared" si="11"/>
        <v>1.9450000000000106E-2</v>
      </c>
      <c r="J92" s="112" t="str">
        <f t="shared" si="8"/>
        <v>90M</v>
      </c>
      <c r="K92" s="119">
        <f t="shared" si="12"/>
        <v>1.8899999999999948E-2</v>
      </c>
      <c r="L92" s="120">
        <f t="shared" si="13"/>
        <v>5.470000000000004E-2</v>
      </c>
      <c r="M92" s="121">
        <f t="shared" si="14"/>
        <v>3.680000000000011E-2</v>
      </c>
    </row>
    <row r="93" spans="3:13" x14ac:dyDescent="0.25">
      <c r="C93">
        <v>91</v>
      </c>
      <c r="D93" s="115" t="str">
        <f t="shared" si="9"/>
        <v>91M</v>
      </c>
      <c r="E93" s="119">
        <v>7.0000000000000007E-2</v>
      </c>
      <c r="F93" s="120">
        <f t="shared" si="10"/>
        <v>5.0000000000000253E-2</v>
      </c>
      <c r="G93" s="128">
        <f t="shared" si="11"/>
        <v>1.9500000000000108E-2</v>
      </c>
      <c r="J93" s="112" t="str">
        <f t="shared" si="8"/>
        <v>91M</v>
      </c>
      <c r="K93" s="119">
        <f t="shared" si="12"/>
        <v>1.8999999999999947E-2</v>
      </c>
      <c r="L93" s="120">
        <f t="shared" si="13"/>
        <v>5.5200000000000041E-2</v>
      </c>
      <c r="M93" s="121">
        <f t="shared" si="14"/>
        <v>3.7100000000000112E-2</v>
      </c>
    </row>
    <row r="94" spans="3:13" x14ac:dyDescent="0.25">
      <c r="C94">
        <v>92</v>
      </c>
      <c r="D94" s="115" t="str">
        <f t="shared" si="9"/>
        <v>92M</v>
      </c>
      <c r="E94" s="119">
        <v>7.0000000000000007E-2</v>
      </c>
      <c r="F94" s="120">
        <f t="shared" si="10"/>
        <v>5.0100000000000255E-2</v>
      </c>
      <c r="G94" s="128">
        <f t="shared" si="11"/>
        <v>1.9550000000000109E-2</v>
      </c>
      <c r="J94" s="112" t="str">
        <f t="shared" si="8"/>
        <v>92M</v>
      </c>
      <c r="K94" s="119">
        <f t="shared" si="12"/>
        <v>1.9099999999999947E-2</v>
      </c>
      <c r="L94" s="120">
        <f t="shared" si="13"/>
        <v>5.5700000000000041E-2</v>
      </c>
      <c r="M94" s="121">
        <f t="shared" si="14"/>
        <v>3.7400000000000114E-2</v>
      </c>
    </row>
    <row r="95" spans="3:13" x14ac:dyDescent="0.25">
      <c r="C95">
        <v>93</v>
      </c>
      <c r="D95" s="115" t="str">
        <f t="shared" si="9"/>
        <v>93M</v>
      </c>
      <c r="E95" s="119">
        <v>7.0000000000000007E-2</v>
      </c>
      <c r="F95" s="120">
        <f t="shared" si="10"/>
        <v>5.0200000000000258E-2</v>
      </c>
      <c r="G95" s="128">
        <f t="shared" si="11"/>
        <v>1.960000000000011E-2</v>
      </c>
      <c r="J95" s="112" t="str">
        <f t="shared" si="8"/>
        <v>93M</v>
      </c>
      <c r="K95" s="119">
        <f t="shared" si="12"/>
        <v>1.9199999999999946E-2</v>
      </c>
      <c r="L95" s="120">
        <f t="shared" si="13"/>
        <v>5.6200000000000042E-2</v>
      </c>
      <c r="M95" s="121">
        <f t="shared" si="14"/>
        <v>3.7700000000000115E-2</v>
      </c>
    </row>
    <row r="96" spans="3:13" x14ac:dyDescent="0.25">
      <c r="C96">
        <v>94</v>
      </c>
      <c r="D96" s="115" t="str">
        <f t="shared" si="9"/>
        <v>94M</v>
      </c>
      <c r="E96" s="119">
        <v>7.0000000000000007E-2</v>
      </c>
      <c r="F96" s="120">
        <f t="shared" si="10"/>
        <v>5.0300000000000261E-2</v>
      </c>
      <c r="G96" s="128">
        <f t="shared" si="11"/>
        <v>1.9650000000000112E-2</v>
      </c>
      <c r="J96" s="112" t="str">
        <f t="shared" si="8"/>
        <v>94M</v>
      </c>
      <c r="K96" s="119">
        <f t="shared" si="12"/>
        <v>1.9299999999999946E-2</v>
      </c>
      <c r="L96" s="120">
        <f t="shared" si="13"/>
        <v>5.6700000000000042E-2</v>
      </c>
      <c r="M96" s="121">
        <f t="shared" si="14"/>
        <v>3.8000000000000117E-2</v>
      </c>
    </row>
    <row r="97" spans="3:13" x14ac:dyDescent="0.25">
      <c r="C97">
        <v>95</v>
      </c>
      <c r="D97" s="115" t="str">
        <f t="shared" si="9"/>
        <v>95M</v>
      </c>
      <c r="E97" s="119">
        <v>7.0000000000000007E-2</v>
      </c>
      <c r="F97" s="120">
        <f t="shared" si="10"/>
        <v>5.0400000000000264E-2</v>
      </c>
      <c r="G97" s="128">
        <f t="shared" si="11"/>
        <v>1.9700000000000113E-2</v>
      </c>
      <c r="J97" s="112" t="str">
        <f t="shared" si="8"/>
        <v>95M</v>
      </c>
      <c r="K97" s="119">
        <f t="shared" si="12"/>
        <v>1.9399999999999945E-2</v>
      </c>
      <c r="L97" s="120">
        <f t="shared" si="13"/>
        <v>5.7200000000000042E-2</v>
      </c>
      <c r="M97" s="121">
        <f t="shared" si="14"/>
        <v>3.8300000000000119E-2</v>
      </c>
    </row>
    <row r="98" spans="3:13" x14ac:dyDescent="0.25">
      <c r="C98">
        <v>96</v>
      </c>
      <c r="D98" s="115" t="str">
        <f t="shared" si="9"/>
        <v>96M</v>
      </c>
      <c r="E98" s="119">
        <v>7.0000000000000007E-2</v>
      </c>
      <c r="F98" s="120">
        <f t="shared" si="10"/>
        <v>5.0500000000000267E-2</v>
      </c>
      <c r="G98" s="128">
        <f t="shared" si="11"/>
        <v>1.9750000000000115E-2</v>
      </c>
      <c r="J98" s="112" t="str">
        <f t="shared" si="8"/>
        <v>96M</v>
      </c>
      <c r="K98" s="119">
        <f t="shared" si="12"/>
        <v>1.9499999999999944E-2</v>
      </c>
      <c r="L98" s="120">
        <f t="shared" si="13"/>
        <v>5.7700000000000043E-2</v>
      </c>
      <c r="M98" s="121">
        <f t="shared" si="14"/>
        <v>3.860000000000012E-2</v>
      </c>
    </row>
    <row r="99" spans="3:13" x14ac:dyDescent="0.25">
      <c r="C99">
        <v>97</v>
      </c>
      <c r="D99" s="115" t="str">
        <f t="shared" si="9"/>
        <v>97M</v>
      </c>
      <c r="E99" s="119">
        <v>7.0000000000000007E-2</v>
      </c>
      <c r="F99" s="120">
        <f t="shared" si="10"/>
        <v>5.060000000000027E-2</v>
      </c>
      <c r="G99" s="128">
        <f t="shared" si="11"/>
        <v>1.9800000000000116E-2</v>
      </c>
      <c r="J99" s="112" t="str">
        <f t="shared" ref="J99:J114" si="15">D99</f>
        <v>97M</v>
      </c>
      <c r="K99" s="119">
        <f t="shared" si="12"/>
        <v>1.9599999999999944E-2</v>
      </c>
      <c r="L99" s="120">
        <f t="shared" si="13"/>
        <v>5.8200000000000043E-2</v>
      </c>
      <c r="M99" s="121">
        <f t="shared" si="14"/>
        <v>3.8900000000000122E-2</v>
      </c>
    </row>
    <row r="100" spans="3:13" x14ac:dyDescent="0.25">
      <c r="C100">
        <v>98</v>
      </c>
      <c r="D100" s="115" t="str">
        <f t="shared" si="9"/>
        <v>98M</v>
      </c>
      <c r="E100" s="119">
        <v>7.0000000000000007E-2</v>
      </c>
      <c r="F100" s="120">
        <f t="shared" si="10"/>
        <v>5.0700000000000273E-2</v>
      </c>
      <c r="G100" s="128">
        <f t="shared" si="11"/>
        <v>1.9850000000000118E-2</v>
      </c>
      <c r="J100" s="112" t="str">
        <f t="shared" si="15"/>
        <v>98M</v>
      </c>
      <c r="K100" s="119">
        <f t="shared" si="12"/>
        <v>1.9699999999999943E-2</v>
      </c>
      <c r="L100" s="120">
        <f t="shared" si="13"/>
        <v>5.8700000000000044E-2</v>
      </c>
      <c r="M100" s="121">
        <f t="shared" si="14"/>
        <v>3.9200000000000124E-2</v>
      </c>
    </row>
    <row r="101" spans="3:13" x14ac:dyDescent="0.25">
      <c r="C101">
        <v>99</v>
      </c>
      <c r="D101" s="115" t="str">
        <f t="shared" si="9"/>
        <v>99M</v>
      </c>
      <c r="E101" s="119">
        <v>7.0000000000000007E-2</v>
      </c>
      <c r="F101" s="120">
        <f t="shared" si="10"/>
        <v>5.0800000000000275E-2</v>
      </c>
      <c r="G101" s="128">
        <f t="shared" si="11"/>
        <v>1.9900000000000119E-2</v>
      </c>
      <c r="J101" s="112" t="str">
        <f t="shared" si="15"/>
        <v>99M</v>
      </c>
      <c r="K101" s="119">
        <f t="shared" si="12"/>
        <v>1.9799999999999943E-2</v>
      </c>
      <c r="L101" s="120">
        <f t="shared" si="13"/>
        <v>5.9200000000000044E-2</v>
      </c>
      <c r="M101" s="121">
        <f t="shared" si="14"/>
        <v>3.9500000000000125E-2</v>
      </c>
    </row>
    <row r="102" spans="3:13" x14ac:dyDescent="0.25">
      <c r="C102">
        <v>100</v>
      </c>
      <c r="D102" s="115" t="str">
        <f t="shared" si="9"/>
        <v>100M</v>
      </c>
      <c r="E102" s="119">
        <v>7.0000000000000007E-2</v>
      </c>
      <c r="F102" s="120">
        <f t="shared" si="10"/>
        <v>5.0900000000000278E-2</v>
      </c>
      <c r="G102" s="128">
        <f t="shared" si="11"/>
        <v>1.995000000000012E-2</v>
      </c>
      <c r="J102" s="112" t="str">
        <f t="shared" si="15"/>
        <v>100M</v>
      </c>
      <c r="K102" s="119">
        <f t="shared" si="12"/>
        <v>1.9899999999999942E-2</v>
      </c>
      <c r="L102" s="120">
        <f t="shared" si="13"/>
        <v>5.9700000000000045E-2</v>
      </c>
      <c r="M102" s="121">
        <f t="shared" si="14"/>
        <v>3.9800000000000127E-2</v>
      </c>
    </row>
    <row r="103" spans="3:13" x14ac:dyDescent="0.25">
      <c r="C103">
        <v>101</v>
      </c>
      <c r="D103" s="115" t="str">
        <f t="shared" si="9"/>
        <v>101M</v>
      </c>
      <c r="E103" s="119">
        <v>7.0000000000000007E-2</v>
      </c>
      <c r="F103" s="120">
        <f t="shared" si="10"/>
        <v>5.1000000000000281E-2</v>
      </c>
      <c r="G103" s="128">
        <f t="shared" si="11"/>
        <v>2.0000000000000122E-2</v>
      </c>
      <c r="J103" s="112" t="str">
        <f t="shared" si="15"/>
        <v>101M</v>
      </c>
      <c r="K103" s="119">
        <f t="shared" si="12"/>
        <v>1.9999999999999941E-2</v>
      </c>
      <c r="L103" s="120">
        <f t="shared" si="13"/>
        <v>6.0200000000000045E-2</v>
      </c>
      <c r="M103" s="121">
        <f t="shared" si="14"/>
        <v>4.0100000000000129E-2</v>
      </c>
    </row>
    <row r="104" spans="3:13" x14ac:dyDescent="0.25">
      <c r="C104">
        <v>102</v>
      </c>
      <c r="D104" s="115" t="str">
        <f t="shared" si="9"/>
        <v>102M</v>
      </c>
      <c r="E104" s="119">
        <v>7.0000000000000007E-2</v>
      </c>
      <c r="F104" s="120">
        <f t="shared" si="10"/>
        <v>5.1100000000000284E-2</v>
      </c>
      <c r="G104" s="128">
        <f t="shared" si="11"/>
        <v>2.0050000000000123E-2</v>
      </c>
      <c r="J104" s="112" t="str">
        <f t="shared" si="15"/>
        <v>102M</v>
      </c>
      <c r="K104" s="119">
        <f t="shared" si="12"/>
        <v>2.0099999999999941E-2</v>
      </c>
      <c r="L104" s="120">
        <f t="shared" si="13"/>
        <v>6.0700000000000046E-2</v>
      </c>
      <c r="M104" s="121">
        <f t="shared" si="14"/>
        <v>4.040000000000013E-2</v>
      </c>
    </row>
    <row r="105" spans="3:13" x14ac:dyDescent="0.25">
      <c r="C105">
        <v>103</v>
      </c>
      <c r="D105" s="115" t="str">
        <f t="shared" si="9"/>
        <v>103M</v>
      </c>
      <c r="E105" s="119">
        <v>7.0000000000000007E-2</v>
      </c>
      <c r="F105" s="120">
        <f t="shared" si="10"/>
        <v>5.1200000000000287E-2</v>
      </c>
      <c r="G105" s="128">
        <f t="shared" si="11"/>
        <v>2.0100000000000125E-2</v>
      </c>
      <c r="J105" s="112" t="str">
        <f t="shared" si="15"/>
        <v>103M</v>
      </c>
      <c r="K105" s="119">
        <f t="shared" si="12"/>
        <v>2.019999999999994E-2</v>
      </c>
      <c r="L105" s="120">
        <f t="shared" si="13"/>
        <v>6.1200000000000046E-2</v>
      </c>
      <c r="M105" s="121">
        <f t="shared" si="14"/>
        <v>4.0700000000000132E-2</v>
      </c>
    </row>
    <row r="106" spans="3:13" x14ac:dyDescent="0.25">
      <c r="C106">
        <v>104</v>
      </c>
      <c r="D106" s="115" t="str">
        <f t="shared" si="9"/>
        <v>104M</v>
      </c>
      <c r="E106" s="119">
        <v>7.0000000000000007E-2</v>
      </c>
      <c r="F106" s="120">
        <f t="shared" si="10"/>
        <v>5.130000000000029E-2</v>
      </c>
      <c r="G106" s="128">
        <f t="shared" si="11"/>
        <v>2.0150000000000126E-2</v>
      </c>
      <c r="J106" s="112" t="str">
        <f t="shared" si="15"/>
        <v>104M</v>
      </c>
      <c r="K106" s="119">
        <f t="shared" si="12"/>
        <v>2.029999999999994E-2</v>
      </c>
      <c r="L106" s="120">
        <f t="shared" si="13"/>
        <v>6.1700000000000046E-2</v>
      </c>
      <c r="M106" s="121">
        <f t="shared" si="14"/>
        <v>4.1000000000000134E-2</v>
      </c>
    </row>
    <row r="107" spans="3:13" x14ac:dyDescent="0.25">
      <c r="C107">
        <v>105</v>
      </c>
      <c r="D107" s="115" t="str">
        <f t="shared" si="9"/>
        <v>105M</v>
      </c>
      <c r="E107" s="119">
        <v>7.0000000000000007E-2</v>
      </c>
      <c r="F107" s="120">
        <f t="shared" si="10"/>
        <v>5.1400000000000293E-2</v>
      </c>
      <c r="G107" s="128">
        <f t="shared" si="11"/>
        <v>2.0200000000000128E-2</v>
      </c>
      <c r="J107" s="112" t="str">
        <f t="shared" si="15"/>
        <v>105M</v>
      </c>
      <c r="K107" s="119">
        <f t="shared" si="12"/>
        <v>2.0399999999999939E-2</v>
      </c>
      <c r="L107" s="120">
        <f t="shared" si="13"/>
        <v>6.2200000000000047E-2</v>
      </c>
      <c r="M107" s="121">
        <f t="shared" si="14"/>
        <v>4.1300000000000135E-2</v>
      </c>
    </row>
    <row r="108" spans="3:13" x14ac:dyDescent="0.25">
      <c r="C108">
        <v>106</v>
      </c>
      <c r="D108" s="115" t="str">
        <f t="shared" si="9"/>
        <v>106M</v>
      </c>
      <c r="E108" s="119">
        <v>7.0000000000000007E-2</v>
      </c>
      <c r="F108" s="120">
        <f t="shared" si="10"/>
        <v>5.1500000000000296E-2</v>
      </c>
      <c r="G108" s="128">
        <f t="shared" si="11"/>
        <v>2.0250000000000129E-2</v>
      </c>
      <c r="J108" s="112" t="str">
        <f t="shared" si="15"/>
        <v>106M</v>
      </c>
      <c r="K108" s="119">
        <f t="shared" si="12"/>
        <v>2.0499999999999938E-2</v>
      </c>
      <c r="L108" s="120">
        <f t="shared" si="13"/>
        <v>6.2700000000000047E-2</v>
      </c>
      <c r="M108" s="121">
        <f t="shared" si="14"/>
        <v>4.1600000000000137E-2</v>
      </c>
    </row>
    <row r="109" spans="3:13" x14ac:dyDescent="0.25">
      <c r="C109">
        <v>107</v>
      </c>
      <c r="D109" s="115" t="str">
        <f t="shared" si="9"/>
        <v>107M</v>
      </c>
      <c r="E109" s="119">
        <v>7.0000000000000007E-2</v>
      </c>
      <c r="F109" s="120">
        <f t="shared" si="10"/>
        <v>5.1600000000000298E-2</v>
      </c>
      <c r="G109" s="128">
        <f t="shared" si="11"/>
        <v>2.030000000000013E-2</v>
      </c>
      <c r="J109" s="112" t="str">
        <f t="shared" si="15"/>
        <v>107M</v>
      </c>
      <c r="K109" s="119">
        <f t="shared" si="12"/>
        <v>2.0599999999999938E-2</v>
      </c>
      <c r="L109" s="120">
        <f t="shared" si="13"/>
        <v>6.3200000000000048E-2</v>
      </c>
      <c r="M109" s="121">
        <f t="shared" si="14"/>
        <v>4.1900000000000139E-2</v>
      </c>
    </row>
    <row r="110" spans="3:13" x14ac:dyDescent="0.25">
      <c r="C110">
        <v>108</v>
      </c>
      <c r="D110" s="115" t="str">
        <f t="shared" si="9"/>
        <v>108M</v>
      </c>
      <c r="E110" s="119">
        <v>7.0000000000000007E-2</v>
      </c>
      <c r="F110" s="120">
        <f t="shared" si="10"/>
        <v>5.1700000000000301E-2</v>
      </c>
      <c r="G110" s="128">
        <f t="shared" si="11"/>
        <v>2.0350000000000132E-2</v>
      </c>
      <c r="J110" s="112" t="str">
        <f t="shared" si="15"/>
        <v>108M</v>
      </c>
      <c r="K110" s="119">
        <f t="shared" si="12"/>
        <v>2.0699999999999937E-2</v>
      </c>
      <c r="L110" s="120">
        <f t="shared" si="13"/>
        <v>6.3700000000000048E-2</v>
      </c>
      <c r="M110" s="121">
        <f t="shared" si="14"/>
        <v>4.220000000000014E-2</v>
      </c>
    </row>
    <row r="111" spans="3:13" x14ac:dyDescent="0.25">
      <c r="C111">
        <v>109</v>
      </c>
      <c r="D111" s="115" t="str">
        <f t="shared" si="9"/>
        <v>109M</v>
      </c>
      <c r="E111" s="119">
        <v>7.0000000000000007E-2</v>
      </c>
      <c r="F111" s="120">
        <f t="shared" si="10"/>
        <v>5.1800000000000304E-2</v>
      </c>
      <c r="G111" s="128">
        <f t="shared" si="11"/>
        <v>2.0400000000000133E-2</v>
      </c>
      <c r="J111" s="112" t="str">
        <f t="shared" si="15"/>
        <v>109M</v>
      </c>
      <c r="K111" s="119">
        <f t="shared" si="12"/>
        <v>2.0799999999999937E-2</v>
      </c>
      <c r="L111" s="120">
        <f t="shared" si="13"/>
        <v>6.4200000000000049E-2</v>
      </c>
      <c r="M111" s="121">
        <f t="shared" si="14"/>
        <v>4.2500000000000142E-2</v>
      </c>
    </row>
    <row r="112" spans="3:13" x14ac:dyDescent="0.25">
      <c r="C112">
        <v>110</v>
      </c>
      <c r="D112" s="115" t="str">
        <f t="shared" si="9"/>
        <v>110M</v>
      </c>
      <c r="E112" s="119">
        <v>7.0000000000000007E-2</v>
      </c>
      <c r="F112" s="120">
        <f t="shared" si="10"/>
        <v>5.1900000000000307E-2</v>
      </c>
      <c r="G112" s="128">
        <f t="shared" si="11"/>
        <v>2.0450000000000135E-2</v>
      </c>
      <c r="J112" s="112" t="str">
        <f t="shared" si="15"/>
        <v>110M</v>
      </c>
      <c r="K112" s="119">
        <f t="shared" si="12"/>
        <v>2.0899999999999936E-2</v>
      </c>
      <c r="L112" s="120">
        <f t="shared" si="13"/>
        <v>6.4700000000000049E-2</v>
      </c>
      <c r="M112" s="121">
        <f t="shared" si="14"/>
        <v>4.2800000000000143E-2</v>
      </c>
    </row>
    <row r="113" spans="3:13" x14ac:dyDescent="0.25">
      <c r="C113">
        <v>111</v>
      </c>
      <c r="D113" s="115" t="str">
        <f t="shared" si="9"/>
        <v>111M</v>
      </c>
      <c r="E113" s="119">
        <v>7.0000000000000007E-2</v>
      </c>
      <c r="F113" s="120">
        <f t="shared" si="10"/>
        <v>5.200000000000031E-2</v>
      </c>
      <c r="G113" s="128">
        <f t="shared" si="11"/>
        <v>2.0500000000000136E-2</v>
      </c>
      <c r="J113" s="112" t="str">
        <f t="shared" si="15"/>
        <v>111M</v>
      </c>
      <c r="K113" s="119">
        <f t="shared" si="12"/>
        <v>2.0999999999999935E-2</v>
      </c>
      <c r="L113" s="120">
        <f t="shared" si="13"/>
        <v>6.520000000000005E-2</v>
      </c>
      <c r="M113" s="121">
        <f t="shared" si="14"/>
        <v>4.3100000000000145E-2</v>
      </c>
    </row>
    <row r="114" spans="3:13" x14ac:dyDescent="0.25">
      <c r="C114">
        <v>112</v>
      </c>
      <c r="D114" s="116" t="str">
        <f t="shared" si="9"/>
        <v>112M</v>
      </c>
      <c r="E114" s="122">
        <v>7.0000000000000007E-2</v>
      </c>
      <c r="F114" s="123">
        <f t="shared" si="10"/>
        <v>5.2100000000000313E-2</v>
      </c>
      <c r="G114" s="129">
        <f t="shared" si="11"/>
        <v>2.0550000000000138E-2</v>
      </c>
      <c r="J114" s="113" t="str">
        <f t="shared" si="15"/>
        <v>112M</v>
      </c>
      <c r="K114" s="122">
        <f t="shared" si="12"/>
        <v>2.1099999999999935E-2</v>
      </c>
      <c r="L114" s="123">
        <f t="shared" si="13"/>
        <v>6.570000000000005E-2</v>
      </c>
      <c r="M114" s="124">
        <f t="shared" si="14"/>
        <v>4.3400000000000147E-2</v>
      </c>
    </row>
  </sheetData>
  <mergeCells count="3">
    <mergeCell ref="K1:M1"/>
    <mergeCell ref="E1:G1"/>
    <mergeCell ref="P2: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Projet</vt:lpstr>
      <vt:lpstr>Obligation - Bonds</vt:lpstr>
      <vt:lpstr>Option sur action BS</vt:lpstr>
      <vt:lpstr>Option sur action MC</vt:lpstr>
      <vt:lpstr>SWAP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eloise csmt</dc:creator>
  <cp:lastModifiedBy>eloise csmt</cp:lastModifiedBy>
  <dcterms:created xsi:type="dcterms:W3CDTF">2023-11-16T15:03:00Z</dcterms:created>
  <dcterms:modified xsi:type="dcterms:W3CDTF">2023-12-15T20:14:28Z</dcterms:modified>
</cp:coreProperties>
</file>